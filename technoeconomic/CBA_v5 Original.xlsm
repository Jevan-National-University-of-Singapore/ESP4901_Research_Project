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vanGoh\OneDrive - National University of Singapore\Y4S1\ESP4901\technoeconomic\"/>
    </mc:Choice>
  </mc:AlternateContent>
  <xr:revisionPtr revIDLastSave="0" documentId="13_ncr:1_{85A41670-31CB-4F06-AB61-6C0106E254C6}" xr6:coauthVersionLast="47" xr6:coauthVersionMax="47" xr10:uidLastSave="{00000000-0000-0000-0000-000000000000}"/>
  <bookViews>
    <workbookView xWindow="-120" yWindow="-120" windowWidth="29040" windowHeight="15720" activeTab="1" xr2:uid="{791260AC-90FC-4CA2-9C7A-785C37A50EEF}"/>
  </bookViews>
  <sheets>
    <sheet name="Hourly Solar Generation" sheetId="3" r:id="rId1"/>
    <sheet name="Technical" sheetId="1" r:id="rId2"/>
    <sheet name="Financial" sheetId="2" r:id="rId3"/>
    <sheet name="Scenario Summary" sheetId="4" r:id="rId4"/>
    <sheet name="Scenario Summary 2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2" l="1"/>
  <c r="AC93" i="2"/>
  <c r="AD93" i="2"/>
  <c r="AE93" i="2"/>
  <c r="AC94" i="2"/>
  <c r="AD94" i="2"/>
  <c r="AE94" i="2"/>
  <c r="AC95" i="2"/>
  <c r="AD95" i="2"/>
  <c r="AE95" i="2"/>
  <c r="AC96" i="2"/>
  <c r="AD96" i="2"/>
  <c r="AE96" i="2"/>
  <c r="AC97" i="2"/>
  <c r="AD97" i="2"/>
  <c r="AE97" i="2"/>
  <c r="AC98" i="2"/>
  <c r="AD98" i="2"/>
  <c r="AE98" i="2"/>
  <c r="AC99" i="2"/>
  <c r="AD99" i="2"/>
  <c r="AE99" i="2"/>
  <c r="AC100" i="2"/>
  <c r="AD100" i="2"/>
  <c r="AE100" i="2"/>
  <c r="AC101" i="2"/>
  <c r="AD101" i="2"/>
  <c r="AE101" i="2"/>
  <c r="AC102" i="2"/>
  <c r="AD102" i="2"/>
  <c r="AE102" i="2"/>
  <c r="AC103" i="2"/>
  <c r="AD103" i="2"/>
  <c r="AE103" i="2"/>
  <c r="AC104" i="2"/>
  <c r="AD104" i="2"/>
  <c r="AE104" i="2"/>
  <c r="AC105" i="2"/>
  <c r="AD105" i="2"/>
  <c r="AE105" i="2"/>
  <c r="AC106" i="2"/>
  <c r="AD106" i="2"/>
  <c r="AE106" i="2"/>
  <c r="AC107" i="2"/>
  <c r="AD107" i="2"/>
  <c r="AE107" i="2"/>
  <c r="AC108" i="2"/>
  <c r="AD108" i="2"/>
  <c r="AE108" i="2"/>
  <c r="AC109" i="2"/>
  <c r="AD109" i="2"/>
  <c r="AE109" i="2"/>
  <c r="AC92" i="2"/>
  <c r="AD92" i="2"/>
  <c r="AE92" i="2"/>
  <c r="Z93" i="2"/>
  <c r="AA93" i="2"/>
  <c r="AB93" i="2"/>
  <c r="Z94" i="2"/>
  <c r="AA94" i="2"/>
  <c r="AB94" i="2"/>
  <c r="Z95" i="2"/>
  <c r="AA95" i="2"/>
  <c r="AB95" i="2"/>
  <c r="Z96" i="2"/>
  <c r="AA96" i="2"/>
  <c r="AB96" i="2"/>
  <c r="Z97" i="2"/>
  <c r="AA97" i="2"/>
  <c r="AB97" i="2"/>
  <c r="Z98" i="2"/>
  <c r="AA98" i="2"/>
  <c r="AB98" i="2"/>
  <c r="Z99" i="2"/>
  <c r="AA99" i="2"/>
  <c r="AB99" i="2"/>
  <c r="Z100" i="2"/>
  <c r="AA100" i="2"/>
  <c r="AB100" i="2"/>
  <c r="Z101" i="2"/>
  <c r="AA101" i="2"/>
  <c r="AB101" i="2"/>
  <c r="Z102" i="2"/>
  <c r="AA102" i="2"/>
  <c r="AB102" i="2"/>
  <c r="Z103" i="2"/>
  <c r="AA103" i="2"/>
  <c r="AB103" i="2"/>
  <c r="Z104" i="2"/>
  <c r="AA104" i="2"/>
  <c r="AB104" i="2"/>
  <c r="Z105" i="2"/>
  <c r="AA105" i="2"/>
  <c r="AB105" i="2"/>
  <c r="Z106" i="2"/>
  <c r="AA106" i="2"/>
  <c r="AB106" i="2"/>
  <c r="Z107" i="2"/>
  <c r="AA107" i="2"/>
  <c r="AB107" i="2"/>
  <c r="Z108" i="2"/>
  <c r="AA108" i="2"/>
  <c r="AB108" i="2"/>
  <c r="Z109" i="2"/>
  <c r="AA109" i="2"/>
  <c r="AB109" i="2"/>
  <c r="AB92" i="2"/>
  <c r="AA92" i="2"/>
  <c r="Z92" i="2"/>
  <c r="R13" i="1"/>
  <c r="AY97" i="1" s="1"/>
  <c r="AY98" i="1" s="1"/>
  <c r="P76" i="2"/>
  <c r="J70" i="2"/>
  <c r="J69" i="2"/>
  <c r="J68" i="2"/>
  <c r="E38" i="2"/>
  <c r="E75" i="2"/>
  <c r="J65" i="2"/>
  <c r="E101" i="1"/>
  <c r="E66" i="1"/>
  <c r="E94" i="1"/>
  <c r="E59" i="1"/>
  <c r="J66" i="2"/>
  <c r="BR114" i="1"/>
  <c r="CQ115" i="1"/>
  <c r="BP115" i="1"/>
  <c r="AR115" i="1"/>
  <c r="AO115" i="1"/>
  <c r="R115" i="1"/>
  <c r="Q115" i="1"/>
  <c r="FK114" i="1"/>
  <c r="FK122" i="1" s="1"/>
  <c r="FJ114" i="1"/>
  <c r="FJ122" i="1" s="1"/>
  <c r="FI114" i="1"/>
  <c r="FI122" i="1" s="1"/>
  <c r="FH114" i="1"/>
  <c r="FG114" i="1"/>
  <c r="FG122" i="1" s="1"/>
  <c r="FF114" i="1"/>
  <c r="FF122" i="1" s="1"/>
  <c r="FE114" i="1"/>
  <c r="FE122" i="1" s="1"/>
  <c r="FD114" i="1"/>
  <c r="FD122" i="1" s="1"/>
  <c r="FC114" i="1"/>
  <c r="FC122" i="1" s="1"/>
  <c r="FB114" i="1"/>
  <c r="FB122" i="1" s="1"/>
  <c r="FA114" i="1"/>
  <c r="FA122" i="1" s="1"/>
  <c r="EZ114" i="1"/>
  <c r="EY114" i="1"/>
  <c r="EY122" i="1" s="1"/>
  <c r="EX114" i="1"/>
  <c r="EX122" i="1" s="1"/>
  <c r="EW114" i="1"/>
  <c r="EW122" i="1" s="1"/>
  <c r="EV114" i="1"/>
  <c r="EV122" i="1" s="1"/>
  <c r="EU114" i="1"/>
  <c r="EU122" i="1" s="1"/>
  <c r="ET114" i="1"/>
  <c r="ES114" i="1"/>
  <c r="ES122" i="1" s="1"/>
  <c r="ER114" i="1"/>
  <c r="EQ114" i="1"/>
  <c r="EQ122" i="1" s="1"/>
  <c r="EP114" i="1"/>
  <c r="EP122" i="1" s="1"/>
  <c r="EO114" i="1"/>
  <c r="EO122" i="1" s="1"/>
  <c r="DQ114" i="1"/>
  <c r="DP114" i="1"/>
  <c r="DP122" i="1" s="1"/>
  <c r="DO114" i="1"/>
  <c r="DO122" i="1" s="1"/>
  <c r="CQ114" i="1"/>
  <c r="CQ122" i="1" s="1"/>
  <c r="CP114" i="1"/>
  <c r="CO114" i="1"/>
  <c r="BQ114" i="1"/>
  <c r="BP114" i="1"/>
  <c r="BP122" i="1" s="1"/>
  <c r="BO114" i="1"/>
  <c r="AR114" i="1"/>
  <c r="AR122" i="1" s="1"/>
  <c r="AQ114" i="1"/>
  <c r="AP114" i="1"/>
  <c r="AO114" i="1"/>
  <c r="AO122" i="1" s="1"/>
  <c r="R114" i="1"/>
  <c r="R122" i="1" s="1"/>
  <c r="Q114" i="1"/>
  <c r="Q122" i="1" s="1"/>
  <c r="P114" i="1"/>
  <c r="O114" i="1"/>
  <c r="FJ111" i="1"/>
  <c r="FI111" i="1"/>
  <c r="FI115" i="1" s="1"/>
  <c r="FE111" i="1"/>
  <c r="FE115" i="1" s="1"/>
  <c r="FD111" i="1"/>
  <c r="FD115" i="1" s="1"/>
  <c r="FA111" i="1"/>
  <c r="FA115" i="1" s="1"/>
  <c r="EW111" i="1"/>
  <c r="EW115" i="1" s="1"/>
  <c r="EV111" i="1"/>
  <c r="EV115" i="1" s="1"/>
  <c r="ES111" i="1"/>
  <c r="ES115" i="1" s="1"/>
  <c r="EO111" i="1"/>
  <c r="EO115" i="1" s="1"/>
  <c r="DR111" i="1"/>
  <c r="DO111" i="1"/>
  <c r="CT111" i="1"/>
  <c r="CS111" i="1"/>
  <c r="CO111" i="1"/>
  <c r="BS111" i="1"/>
  <c r="BN111" i="1"/>
  <c r="BN116" i="1" s="1"/>
  <c r="BN117" i="1" s="1"/>
  <c r="AS111" i="1"/>
  <c r="AO111" i="1"/>
  <c r="AJ111" i="1"/>
  <c r="O111" i="1"/>
  <c r="FI110" i="1"/>
  <c r="FH110" i="1"/>
  <c r="FH111" i="1" s="1"/>
  <c r="FG110" i="1"/>
  <c r="FG111" i="1" s="1"/>
  <c r="FE110" i="1"/>
  <c r="FD110" i="1"/>
  <c r="FC110" i="1"/>
  <c r="FC111" i="1" s="1"/>
  <c r="FB110" i="1"/>
  <c r="FB111" i="1" s="1"/>
  <c r="FA110" i="1"/>
  <c r="EZ110" i="1"/>
  <c r="EZ111" i="1" s="1"/>
  <c r="EY110" i="1"/>
  <c r="EY111" i="1" s="1"/>
  <c r="EW110" i="1"/>
  <c r="EV110" i="1"/>
  <c r="FK109" i="1"/>
  <c r="FK111" i="1" s="1"/>
  <c r="FJ109" i="1"/>
  <c r="EU109" i="1"/>
  <c r="EU111" i="1" s="1"/>
  <c r="ET109" i="1"/>
  <c r="ET111" i="1" s="1"/>
  <c r="ES109" i="1"/>
  <c r="ER109" i="1"/>
  <c r="ER111" i="1" s="1"/>
  <c r="EQ109" i="1"/>
  <c r="EQ111" i="1" s="1"/>
  <c r="EP109" i="1"/>
  <c r="EP111" i="1" s="1"/>
  <c r="EO109" i="1"/>
  <c r="EN109" i="1"/>
  <c r="EN111" i="1" s="1"/>
  <c r="EN116" i="1" s="1"/>
  <c r="EN117" i="1" s="1"/>
  <c r="EK109" i="1"/>
  <c r="EK111" i="1" s="1"/>
  <c r="EJ109" i="1"/>
  <c r="EJ111" i="1" s="1"/>
  <c r="DU109" i="1"/>
  <c r="DU111" i="1" s="1"/>
  <c r="DT109" i="1"/>
  <c r="DT111" i="1" s="1"/>
  <c r="DS109" i="1"/>
  <c r="DS111" i="1" s="1"/>
  <c r="DR109" i="1"/>
  <c r="DQ109" i="1"/>
  <c r="DQ111" i="1" s="1"/>
  <c r="DP109" i="1"/>
  <c r="DP111" i="1" s="1"/>
  <c r="DO109" i="1"/>
  <c r="DN109" i="1"/>
  <c r="DN111" i="1" s="1"/>
  <c r="DN116" i="1" s="1"/>
  <c r="DN117" i="1" s="1"/>
  <c r="DK109" i="1"/>
  <c r="DK111" i="1" s="1"/>
  <c r="DJ109" i="1"/>
  <c r="DJ111" i="1" s="1"/>
  <c r="CU109" i="1"/>
  <c r="CU111" i="1" s="1"/>
  <c r="CT109" i="1"/>
  <c r="CS109" i="1"/>
  <c r="CR109" i="1"/>
  <c r="CR111" i="1" s="1"/>
  <c r="CQ109" i="1"/>
  <c r="CQ111" i="1" s="1"/>
  <c r="CP109" i="1"/>
  <c r="CP111" i="1" s="1"/>
  <c r="CO109" i="1"/>
  <c r="CN109" i="1"/>
  <c r="CN111" i="1" s="1"/>
  <c r="CN116" i="1" s="1"/>
  <c r="CN117" i="1" s="1"/>
  <c r="CK109" i="1"/>
  <c r="CK111" i="1" s="1"/>
  <c r="CJ109" i="1"/>
  <c r="CJ111" i="1" s="1"/>
  <c r="BU109" i="1"/>
  <c r="BU111" i="1" s="1"/>
  <c r="BT109" i="1"/>
  <c r="BT111" i="1" s="1"/>
  <c r="BS109" i="1"/>
  <c r="BR109" i="1"/>
  <c r="BR111" i="1" s="1"/>
  <c r="BQ109" i="1"/>
  <c r="BQ111" i="1" s="1"/>
  <c r="BP109" i="1"/>
  <c r="BP111" i="1" s="1"/>
  <c r="BO109" i="1"/>
  <c r="BO111" i="1" s="1"/>
  <c r="BN109" i="1"/>
  <c r="BK109" i="1"/>
  <c r="BK111" i="1" s="1"/>
  <c r="BJ109" i="1"/>
  <c r="BJ111" i="1" s="1"/>
  <c r="AU109" i="1"/>
  <c r="AU111" i="1" s="1"/>
  <c r="AT109" i="1"/>
  <c r="AT111" i="1" s="1"/>
  <c r="AS109" i="1"/>
  <c r="AR109" i="1"/>
  <c r="AR111" i="1" s="1"/>
  <c r="AQ109" i="1"/>
  <c r="AQ111" i="1" s="1"/>
  <c r="AP109" i="1"/>
  <c r="AP111" i="1" s="1"/>
  <c r="AO109" i="1"/>
  <c r="AN109" i="1"/>
  <c r="AN111" i="1" s="1"/>
  <c r="AN116" i="1" s="1"/>
  <c r="AN117" i="1" s="1"/>
  <c r="AK109" i="1"/>
  <c r="AK111" i="1" s="1"/>
  <c r="AJ109" i="1"/>
  <c r="U109" i="1"/>
  <c r="U111" i="1" s="1"/>
  <c r="T109" i="1"/>
  <c r="T111" i="1" s="1"/>
  <c r="S109" i="1"/>
  <c r="S111" i="1" s="1"/>
  <c r="R109" i="1"/>
  <c r="R111" i="1" s="1"/>
  <c r="Q109" i="1"/>
  <c r="Q111" i="1" s="1"/>
  <c r="P109" i="1"/>
  <c r="P111" i="1" s="1"/>
  <c r="O109" i="1"/>
  <c r="N109" i="1"/>
  <c r="N111" i="1" s="1"/>
  <c r="N116" i="1" s="1"/>
  <c r="N117" i="1" s="1"/>
  <c r="EY80" i="1"/>
  <c r="BQ80" i="1"/>
  <c r="BP80" i="1"/>
  <c r="AR80" i="1"/>
  <c r="AO80" i="1"/>
  <c r="R80" i="1"/>
  <c r="FK79" i="1"/>
  <c r="FJ79" i="1"/>
  <c r="FJ87" i="1" s="1"/>
  <c r="FI79" i="1"/>
  <c r="FI87" i="1" s="1"/>
  <c r="FH79" i="1"/>
  <c r="FH87" i="1" s="1"/>
  <c r="FG79" i="1"/>
  <c r="FG87" i="1" s="1"/>
  <c r="FF79" i="1"/>
  <c r="FE79" i="1"/>
  <c r="FE87" i="1" s="1"/>
  <c r="FD79" i="1"/>
  <c r="FD87" i="1" s="1"/>
  <c r="FC79" i="1"/>
  <c r="FB79" i="1"/>
  <c r="FB87" i="1" s="1"/>
  <c r="FA79" i="1"/>
  <c r="FA87" i="1" s="1"/>
  <c r="EZ79" i="1"/>
  <c r="EZ87" i="1" s="1"/>
  <c r="EY79" i="1"/>
  <c r="EY87" i="1" s="1"/>
  <c r="EX79" i="1"/>
  <c r="EW79" i="1"/>
  <c r="EW87" i="1" s="1"/>
  <c r="EV79" i="1"/>
  <c r="EV87" i="1" s="1"/>
  <c r="EU79" i="1"/>
  <c r="ET79" i="1"/>
  <c r="ET87" i="1" s="1"/>
  <c r="ES79" i="1"/>
  <c r="ES87" i="1" s="1"/>
  <c r="ER79" i="1"/>
  <c r="ER87" i="1" s="1"/>
  <c r="EQ79" i="1"/>
  <c r="EQ87" i="1" s="1"/>
  <c r="EP79" i="1"/>
  <c r="EO79" i="1"/>
  <c r="EO87" i="1" s="1"/>
  <c r="DQ79" i="1"/>
  <c r="DQ87" i="1" s="1"/>
  <c r="DP79" i="1"/>
  <c r="DP87" i="1" s="1"/>
  <c r="DO79" i="1"/>
  <c r="CQ79" i="1"/>
  <c r="CQ87" i="1" s="1"/>
  <c r="CP79" i="1"/>
  <c r="CP87" i="1" s="1"/>
  <c r="CO79" i="1"/>
  <c r="CO87" i="1" s="1"/>
  <c r="BR79" i="1"/>
  <c r="BQ79" i="1"/>
  <c r="BQ87" i="1" s="1"/>
  <c r="BP79" i="1"/>
  <c r="BP87" i="1" s="1"/>
  <c r="BO79" i="1"/>
  <c r="BO87" i="1" s="1"/>
  <c r="AR79" i="1"/>
  <c r="AR87" i="1" s="1"/>
  <c r="AQ79" i="1"/>
  <c r="AP79" i="1"/>
  <c r="AP87" i="1" s="1"/>
  <c r="AO79" i="1"/>
  <c r="AO87" i="1" s="1"/>
  <c r="R79" i="1"/>
  <c r="R87" i="1" s="1"/>
  <c r="Q79" i="1"/>
  <c r="Q87" i="1" s="1"/>
  <c r="P79" i="1"/>
  <c r="O79" i="1"/>
  <c r="FH76" i="1"/>
  <c r="FA76" i="1"/>
  <c r="FA80" i="1" s="1"/>
  <c r="EZ76" i="1"/>
  <c r="EV76" i="1"/>
  <c r="EU76" i="1"/>
  <c r="ER76" i="1"/>
  <c r="CR76" i="1"/>
  <c r="CQ76" i="1"/>
  <c r="CO76" i="1"/>
  <c r="CN76" i="1"/>
  <c r="CN81" i="1" s="1"/>
  <c r="CN82" i="1" s="1"/>
  <c r="BS76" i="1"/>
  <c r="BQ76" i="1"/>
  <c r="BP76" i="1"/>
  <c r="AS76" i="1"/>
  <c r="AR76" i="1"/>
  <c r="AQ76" i="1"/>
  <c r="AN76" i="1"/>
  <c r="AN81" i="1" s="1"/>
  <c r="AN82" i="1" s="1"/>
  <c r="FI75" i="1"/>
  <c r="FI76" i="1" s="1"/>
  <c r="FH75" i="1"/>
  <c r="FG75" i="1"/>
  <c r="FG76" i="1" s="1"/>
  <c r="FG80" i="1" s="1"/>
  <c r="FF75" i="1"/>
  <c r="FF76" i="1" s="1"/>
  <c r="FE75" i="1"/>
  <c r="FE76" i="1" s="1"/>
  <c r="FE80" i="1" s="1"/>
  <c r="FD75" i="1"/>
  <c r="FD76" i="1" s="1"/>
  <c r="FD80" i="1" s="1"/>
  <c r="FC75" i="1"/>
  <c r="FC76" i="1" s="1"/>
  <c r="FB75" i="1"/>
  <c r="FB76" i="1" s="1"/>
  <c r="FB80" i="1" s="1"/>
  <c r="FA75" i="1"/>
  <c r="EZ75" i="1"/>
  <c r="EY75" i="1"/>
  <c r="EY76" i="1" s="1"/>
  <c r="EX75" i="1"/>
  <c r="EX76" i="1" s="1"/>
  <c r="EW75" i="1"/>
  <c r="EW76" i="1" s="1"/>
  <c r="EW80" i="1" s="1"/>
  <c r="EV75" i="1"/>
  <c r="FK74" i="1"/>
  <c r="FK76" i="1" s="1"/>
  <c r="FJ74" i="1"/>
  <c r="FJ76" i="1" s="1"/>
  <c r="FJ80" i="1" s="1"/>
  <c r="EU74" i="1"/>
  <c r="ET74" i="1"/>
  <c r="ET76" i="1" s="1"/>
  <c r="ET80" i="1" s="1"/>
  <c r="ES74" i="1"/>
  <c r="ES76" i="1" s="1"/>
  <c r="ES80" i="1" s="1"/>
  <c r="ER74" i="1"/>
  <c r="EQ74" i="1"/>
  <c r="EQ76" i="1" s="1"/>
  <c r="EQ80" i="1" s="1"/>
  <c r="EP74" i="1"/>
  <c r="EP76" i="1" s="1"/>
  <c r="EO74" i="1"/>
  <c r="EO76" i="1" s="1"/>
  <c r="EO80" i="1" s="1"/>
  <c r="EN74" i="1"/>
  <c r="EN76" i="1" s="1"/>
  <c r="EN81" i="1" s="1"/>
  <c r="EN82" i="1" s="1"/>
  <c r="EK74" i="1"/>
  <c r="EK76" i="1" s="1"/>
  <c r="EJ74" i="1"/>
  <c r="EJ76" i="1" s="1"/>
  <c r="DU74" i="1"/>
  <c r="DU76" i="1" s="1"/>
  <c r="DT74" i="1"/>
  <c r="DT76" i="1" s="1"/>
  <c r="DS74" i="1"/>
  <c r="DS76" i="1" s="1"/>
  <c r="DR74" i="1"/>
  <c r="DR76" i="1" s="1"/>
  <c r="DQ74" i="1"/>
  <c r="DQ76" i="1" s="1"/>
  <c r="DP74" i="1"/>
  <c r="DP76" i="1" s="1"/>
  <c r="DO74" i="1"/>
  <c r="DO76" i="1" s="1"/>
  <c r="DN74" i="1"/>
  <c r="DN76" i="1" s="1"/>
  <c r="DN81" i="1" s="1"/>
  <c r="DN82" i="1" s="1"/>
  <c r="DK74" i="1"/>
  <c r="DK76" i="1" s="1"/>
  <c r="DJ74" i="1"/>
  <c r="DJ76" i="1" s="1"/>
  <c r="CU74" i="1"/>
  <c r="CU76" i="1" s="1"/>
  <c r="CT74" i="1"/>
  <c r="CT76" i="1" s="1"/>
  <c r="CS74" i="1"/>
  <c r="CS76" i="1" s="1"/>
  <c r="CR74" i="1"/>
  <c r="CQ74" i="1"/>
  <c r="CP74" i="1"/>
  <c r="CP76" i="1" s="1"/>
  <c r="CO74" i="1"/>
  <c r="CN74" i="1"/>
  <c r="CK74" i="1"/>
  <c r="CK76" i="1" s="1"/>
  <c r="CJ74" i="1"/>
  <c r="CJ76" i="1" s="1"/>
  <c r="BU74" i="1"/>
  <c r="BU76" i="1" s="1"/>
  <c r="BT74" i="1"/>
  <c r="BT76" i="1" s="1"/>
  <c r="BS74" i="1"/>
  <c r="BR74" i="1"/>
  <c r="BR76" i="1" s="1"/>
  <c r="BQ74" i="1"/>
  <c r="BP74" i="1"/>
  <c r="BO74" i="1"/>
  <c r="BO76" i="1" s="1"/>
  <c r="BN74" i="1"/>
  <c r="BN76" i="1" s="1"/>
  <c r="BN81" i="1" s="1"/>
  <c r="BN82" i="1" s="1"/>
  <c r="BK74" i="1"/>
  <c r="BK76" i="1" s="1"/>
  <c r="BJ74" i="1"/>
  <c r="BJ76" i="1" s="1"/>
  <c r="AU74" i="1"/>
  <c r="AU76" i="1" s="1"/>
  <c r="AT74" i="1"/>
  <c r="AT76" i="1" s="1"/>
  <c r="AS74" i="1"/>
  <c r="AR74" i="1"/>
  <c r="AQ74" i="1"/>
  <c r="AP74" i="1"/>
  <c r="AP76" i="1" s="1"/>
  <c r="AO74" i="1"/>
  <c r="AO76" i="1" s="1"/>
  <c r="AN74" i="1"/>
  <c r="AK74" i="1"/>
  <c r="AK76" i="1" s="1"/>
  <c r="AJ74" i="1"/>
  <c r="AJ76" i="1" s="1"/>
  <c r="U74" i="1"/>
  <c r="U76" i="1" s="1"/>
  <c r="T74" i="1"/>
  <c r="T76" i="1" s="1"/>
  <c r="S74" i="1"/>
  <c r="S76" i="1" s="1"/>
  <c r="R74" i="1"/>
  <c r="R76" i="1" s="1"/>
  <c r="Q74" i="1"/>
  <c r="Q76" i="1" s="1"/>
  <c r="P74" i="1"/>
  <c r="P76" i="1" s="1"/>
  <c r="O74" i="1"/>
  <c r="O76" i="1" s="1"/>
  <c r="N74" i="1"/>
  <c r="N76" i="1" s="1"/>
  <c r="N81" i="1" s="1"/>
  <c r="N82" i="1" s="1"/>
  <c r="FK45" i="1"/>
  <c r="FJ45" i="1"/>
  <c r="FI45" i="1"/>
  <c r="FH45" i="1"/>
  <c r="FG45" i="1"/>
  <c r="FF45" i="1"/>
  <c r="FE45" i="1"/>
  <c r="FD45" i="1"/>
  <c r="FC45" i="1"/>
  <c r="FB45" i="1"/>
  <c r="FA45" i="1"/>
  <c r="EZ45" i="1"/>
  <c r="EY45" i="1"/>
  <c r="EX45" i="1"/>
  <c r="EW45" i="1"/>
  <c r="EV45" i="1"/>
  <c r="EU45" i="1"/>
  <c r="ET45" i="1"/>
  <c r="ES45" i="1"/>
  <c r="ER45" i="1"/>
  <c r="EQ45" i="1"/>
  <c r="EP45" i="1"/>
  <c r="EO45" i="1"/>
  <c r="DQ45" i="1"/>
  <c r="DP45" i="1"/>
  <c r="DO45" i="1"/>
  <c r="CQ45" i="1"/>
  <c r="CP45" i="1"/>
  <c r="CO45" i="1"/>
  <c r="BQ45" i="1"/>
  <c r="BP45" i="1"/>
  <c r="BO45" i="1"/>
  <c r="AR45" i="1"/>
  <c r="AQ45" i="1"/>
  <c r="AP45" i="1"/>
  <c r="AO45" i="1"/>
  <c r="O45" i="1"/>
  <c r="P45" i="1"/>
  <c r="Q45" i="1"/>
  <c r="R45" i="1"/>
  <c r="EN46" i="1"/>
  <c r="DN46" i="1"/>
  <c r="CN46" i="1"/>
  <c r="BN46" i="1"/>
  <c r="AN46" i="1"/>
  <c r="FJ52" i="1"/>
  <c r="FH52" i="1"/>
  <c r="FD52" i="1"/>
  <c r="FB52" i="1"/>
  <c r="EZ52" i="1"/>
  <c r="EV52" i="1"/>
  <c r="ET52" i="1"/>
  <c r="ER52" i="1"/>
  <c r="FK44" i="1"/>
  <c r="FJ44" i="1"/>
  <c r="FI44" i="1"/>
  <c r="FI52" i="1" s="1"/>
  <c r="FH44" i="1"/>
  <c r="FG44" i="1"/>
  <c r="FG52" i="1" s="1"/>
  <c r="FF44" i="1"/>
  <c r="FF52" i="1" s="1"/>
  <c r="FE44" i="1"/>
  <c r="FD44" i="1"/>
  <c r="FC44" i="1"/>
  <c r="FB44" i="1"/>
  <c r="FA44" i="1"/>
  <c r="FA52" i="1" s="1"/>
  <c r="EZ44" i="1"/>
  <c r="EY44" i="1"/>
  <c r="EY52" i="1" s="1"/>
  <c r="EX44" i="1"/>
  <c r="EX52" i="1" s="1"/>
  <c r="EW44" i="1"/>
  <c r="EV44" i="1"/>
  <c r="EU44" i="1"/>
  <c r="ET44" i="1"/>
  <c r="ES44" i="1"/>
  <c r="ES52" i="1" s="1"/>
  <c r="ER44" i="1"/>
  <c r="EQ44" i="1"/>
  <c r="EQ52" i="1" s="1"/>
  <c r="EP44" i="1"/>
  <c r="EP52" i="1" s="1"/>
  <c r="EO44" i="1"/>
  <c r="FF41" i="1"/>
  <c r="FD41" i="1"/>
  <c r="EX41" i="1"/>
  <c r="EV41" i="1"/>
  <c r="FI40" i="1"/>
  <c r="FI41" i="1" s="1"/>
  <c r="FH40" i="1"/>
  <c r="FF40" i="1"/>
  <c r="FD40" i="1"/>
  <c r="FB40" i="1"/>
  <c r="FB41" i="1" s="1"/>
  <c r="FA40" i="1"/>
  <c r="FA41" i="1" s="1"/>
  <c r="EZ40" i="1"/>
  <c r="EZ41" i="1" s="1"/>
  <c r="EX40" i="1"/>
  <c r="EV40" i="1"/>
  <c r="FK39" i="1"/>
  <c r="FK41" i="1" s="1"/>
  <c r="FJ39" i="1"/>
  <c r="FJ41" i="1" s="1"/>
  <c r="EU39" i="1"/>
  <c r="EU41" i="1" s="1"/>
  <c r="ET39" i="1"/>
  <c r="ET41" i="1" s="1"/>
  <c r="ES39" i="1"/>
  <c r="ES41" i="1" s="1"/>
  <c r="ER39" i="1"/>
  <c r="ER41" i="1" s="1"/>
  <c r="EQ39" i="1"/>
  <c r="EQ41" i="1" s="1"/>
  <c r="EP39" i="1"/>
  <c r="EP41" i="1" s="1"/>
  <c r="EO39" i="1"/>
  <c r="EO41" i="1" s="1"/>
  <c r="EN39" i="1"/>
  <c r="EN41" i="1" s="1"/>
  <c r="EN47" i="1" s="1"/>
  <c r="DP52" i="1"/>
  <c r="DQ44" i="1"/>
  <c r="DQ52" i="1" s="1"/>
  <c r="DP44" i="1"/>
  <c r="DO44" i="1"/>
  <c r="EK39" i="1"/>
  <c r="EK41" i="1" s="1"/>
  <c r="EJ39" i="1"/>
  <c r="EJ41" i="1" s="1"/>
  <c r="DU39" i="1"/>
  <c r="DU41" i="1" s="1"/>
  <c r="DT39" i="1"/>
  <c r="DT41" i="1" s="1"/>
  <c r="DS39" i="1"/>
  <c r="DS41" i="1" s="1"/>
  <c r="DR39" i="1"/>
  <c r="DR41" i="1" s="1"/>
  <c r="DQ39" i="1"/>
  <c r="DQ41" i="1" s="1"/>
  <c r="DP39" i="1"/>
  <c r="DP41" i="1" s="1"/>
  <c r="DO39" i="1"/>
  <c r="DO41" i="1" s="1"/>
  <c r="DN39" i="1"/>
  <c r="DN41" i="1" s="1"/>
  <c r="CQ44" i="1"/>
  <c r="CQ52" i="1" s="1"/>
  <c r="CP44" i="1"/>
  <c r="CP52" i="1" s="1"/>
  <c r="CO44" i="1"/>
  <c r="DK41" i="1"/>
  <c r="CN41" i="1"/>
  <c r="CN47" i="1" s="1"/>
  <c r="DK39" i="1"/>
  <c r="DJ39" i="1"/>
  <c r="DJ41" i="1" s="1"/>
  <c r="CU39" i="1"/>
  <c r="CU41" i="1" s="1"/>
  <c r="CT39" i="1"/>
  <c r="CT41" i="1" s="1"/>
  <c r="CS39" i="1"/>
  <c r="CS41" i="1" s="1"/>
  <c r="CR39" i="1"/>
  <c r="CR41" i="1" s="1"/>
  <c r="CQ39" i="1"/>
  <c r="CQ41" i="1" s="1"/>
  <c r="CP39" i="1"/>
  <c r="CP41" i="1" s="1"/>
  <c r="CO39" i="1"/>
  <c r="CO41" i="1" s="1"/>
  <c r="CN39" i="1"/>
  <c r="BR44" i="1"/>
  <c r="BR45" i="1" s="1"/>
  <c r="BQ44" i="1"/>
  <c r="BQ52" i="1" s="1"/>
  <c r="BP44" i="1"/>
  <c r="BP52" i="1" s="1"/>
  <c r="BO44" i="1"/>
  <c r="CK41" i="1"/>
  <c r="BU41" i="1"/>
  <c r="CK39" i="1"/>
  <c r="CJ39" i="1"/>
  <c r="CJ41" i="1" s="1"/>
  <c r="BU39" i="1"/>
  <c r="BT39" i="1"/>
  <c r="BT41" i="1" s="1"/>
  <c r="BS39" i="1"/>
  <c r="BS41" i="1" s="1"/>
  <c r="BR39" i="1"/>
  <c r="BR41" i="1" s="1"/>
  <c r="BQ39" i="1"/>
  <c r="BQ41" i="1" s="1"/>
  <c r="BP39" i="1"/>
  <c r="BP41" i="1" s="1"/>
  <c r="BO39" i="1"/>
  <c r="BO41" i="1" s="1"/>
  <c r="BN39" i="1"/>
  <c r="BN41" i="1" s="1"/>
  <c r="AP52" i="1"/>
  <c r="AO52" i="1"/>
  <c r="AR44" i="1"/>
  <c r="AQ44" i="1"/>
  <c r="AQ52" i="1" s="1"/>
  <c r="AP44" i="1"/>
  <c r="AO44" i="1"/>
  <c r="BK41" i="1"/>
  <c r="BJ41" i="1"/>
  <c r="BK39" i="1"/>
  <c r="BJ39" i="1"/>
  <c r="AU39" i="1"/>
  <c r="AU41" i="1" s="1"/>
  <c r="AT39" i="1"/>
  <c r="AT41" i="1" s="1"/>
  <c r="AS39" i="1"/>
  <c r="AS41" i="1" s="1"/>
  <c r="AR39" i="1"/>
  <c r="AR41" i="1" s="1"/>
  <c r="AQ39" i="1"/>
  <c r="AQ41" i="1" s="1"/>
  <c r="AP39" i="1"/>
  <c r="AP41" i="1" s="1"/>
  <c r="AO39" i="1"/>
  <c r="AO41" i="1" s="1"/>
  <c r="AN39" i="1"/>
  <c r="AN41" i="1" s="1"/>
  <c r="N46" i="1"/>
  <c r="AK39" i="1"/>
  <c r="AJ39" i="1"/>
  <c r="N41" i="1"/>
  <c r="O41" i="1"/>
  <c r="P41" i="1"/>
  <c r="Q41" i="1"/>
  <c r="R41" i="1"/>
  <c r="S41" i="1"/>
  <c r="T41" i="1"/>
  <c r="U41" i="1"/>
  <c r="V85" i="2"/>
  <c r="E74" i="2"/>
  <c r="E73" i="2"/>
  <c r="E67" i="2"/>
  <c r="P78" i="2" s="1"/>
  <c r="EY97" i="1"/>
  <c r="EY98" i="1" s="1"/>
  <c r="EY62" i="1"/>
  <c r="J80" i="1"/>
  <c r="J115" i="1" s="1"/>
  <c r="E110" i="1" s="1"/>
  <c r="E117" i="1"/>
  <c r="J114" i="1"/>
  <c r="J100" i="1"/>
  <c r="E100" i="1"/>
  <c r="E99" i="1"/>
  <c r="E98" i="1"/>
  <c r="E97" i="1"/>
  <c r="E96" i="1"/>
  <c r="R44" i="1"/>
  <c r="Q44" i="1"/>
  <c r="Q52" i="1" s="1"/>
  <c r="P44" i="1"/>
  <c r="P52" i="1" s="1"/>
  <c r="O44" i="1"/>
  <c r="U39" i="1"/>
  <c r="T39" i="1"/>
  <c r="S39" i="1"/>
  <c r="R39" i="1"/>
  <c r="Q39" i="1"/>
  <c r="P39" i="1"/>
  <c r="O39" i="1"/>
  <c r="N39" i="1"/>
  <c r="E78" i="1" l="1"/>
  <c r="CY97" i="1"/>
  <c r="CY98" i="1" s="1"/>
  <c r="E113" i="1"/>
  <c r="E114" i="1" s="1"/>
  <c r="AY62" i="1"/>
  <c r="BY97" i="1"/>
  <c r="BY98" i="1" s="1"/>
  <c r="BY62" i="1"/>
  <c r="DY97" i="1"/>
  <c r="DY98" i="1" s="1"/>
  <c r="CR16" i="1"/>
  <c r="AY27" i="1"/>
  <c r="BR52" i="1"/>
  <c r="BO122" i="1"/>
  <c r="BO115" i="1"/>
  <c r="CP122" i="1"/>
  <c r="CP115" i="1"/>
  <c r="DQ122" i="1"/>
  <c r="DQ115" i="1"/>
  <c r="ER122" i="1"/>
  <c r="ER115" i="1"/>
  <c r="EZ122" i="1"/>
  <c r="EZ115" i="1"/>
  <c r="FH122" i="1"/>
  <c r="FH115" i="1"/>
  <c r="EP115" i="1"/>
  <c r="O122" i="1"/>
  <c r="O115" i="1"/>
  <c r="AP122" i="1"/>
  <c r="AP115" i="1"/>
  <c r="BQ122" i="1"/>
  <c r="BQ115" i="1"/>
  <c r="ET122" i="1"/>
  <c r="ET115" i="1"/>
  <c r="FF115" i="1"/>
  <c r="P122" i="1"/>
  <c r="P115" i="1"/>
  <c r="AQ122" i="1"/>
  <c r="AQ115" i="1"/>
  <c r="BR122" i="1"/>
  <c r="BR115" i="1"/>
  <c r="EX110" i="1"/>
  <c r="EX111" i="1" s="1"/>
  <c r="EX115" i="1" s="1"/>
  <c r="FF110" i="1"/>
  <c r="FF111" i="1" s="1"/>
  <c r="EO120" i="1"/>
  <c r="EO116" i="1"/>
  <c r="EO117" i="1" s="1"/>
  <c r="DO115" i="1"/>
  <c r="DO121" i="1" a="1"/>
  <c r="DO121" i="1" s="1"/>
  <c r="DO124" i="1"/>
  <c r="DO123" i="1"/>
  <c r="CO122" i="1"/>
  <c r="CO115" i="1"/>
  <c r="AO121" i="1" a="1"/>
  <c r="AO121" i="1" s="1"/>
  <c r="AO123" i="1"/>
  <c r="AO124" i="1"/>
  <c r="BP124" i="1"/>
  <c r="CQ124" i="1"/>
  <c r="DP115" i="1"/>
  <c r="EQ115" i="1"/>
  <c r="EY115" i="1"/>
  <c r="FG115" i="1"/>
  <c r="AO120" i="1"/>
  <c r="Q124" i="1"/>
  <c r="AR124" i="1"/>
  <c r="FB115" i="1"/>
  <c r="FJ115" i="1"/>
  <c r="R124" i="1"/>
  <c r="EO123" i="1"/>
  <c r="EO121" i="1" a="1"/>
  <c r="EO121" i="1" s="1"/>
  <c r="EO124" i="1"/>
  <c r="EU115" i="1"/>
  <c r="FC115" i="1"/>
  <c r="FK115" i="1"/>
  <c r="DP124" i="1"/>
  <c r="AO116" i="1"/>
  <c r="AO117" i="1" s="1"/>
  <c r="EO85" i="1"/>
  <c r="EO81" i="1"/>
  <c r="EO82" i="1" s="1"/>
  <c r="Q89" i="1"/>
  <c r="AR89" i="1"/>
  <c r="Q80" i="1"/>
  <c r="EV80" i="1"/>
  <c r="DO87" i="1"/>
  <c r="DO80" i="1"/>
  <c r="EP80" i="1"/>
  <c r="EP87" i="1"/>
  <c r="EX87" i="1"/>
  <c r="EX80" i="1"/>
  <c r="FF87" i="1"/>
  <c r="FF80" i="1"/>
  <c r="CO86" i="1" a="1"/>
  <c r="CO86" i="1" s="1"/>
  <c r="CO88" i="1"/>
  <c r="CO89" i="1"/>
  <c r="DP89" i="1"/>
  <c r="CO80" i="1"/>
  <c r="CQ80" i="1"/>
  <c r="AO89" i="1"/>
  <c r="AO86" i="1" a="1"/>
  <c r="AO86" i="1" s="1"/>
  <c r="AO88" i="1"/>
  <c r="BP89" i="1"/>
  <c r="CQ89" i="1"/>
  <c r="DP80" i="1"/>
  <c r="FI80" i="1"/>
  <c r="AO85" i="1"/>
  <c r="AO81" i="1"/>
  <c r="AO82" i="1" s="1"/>
  <c r="O87" i="1"/>
  <c r="O80" i="1"/>
  <c r="P87" i="1"/>
  <c r="P80" i="1"/>
  <c r="AQ87" i="1"/>
  <c r="AQ80" i="1"/>
  <c r="BR87" i="1"/>
  <c r="BR80" i="1"/>
  <c r="EU87" i="1"/>
  <c r="EU80" i="1"/>
  <c r="FC87" i="1"/>
  <c r="FC80" i="1"/>
  <c r="FK87" i="1"/>
  <c r="FK80" i="1"/>
  <c r="R89" i="1"/>
  <c r="EO86" i="1" a="1"/>
  <c r="EO86" i="1" s="1"/>
  <c r="EO89" i="1" s="1"/>
  <c r="EO88" i="1"/>
  <c r="BO89" i="1"/>
  <c r="BO88" i="1"/>
  <c r="BO86" i="1" s="1" a="1"/>
  <c r="BO86" i="1" s="1"/>
  <c r="CP89" i="1"/>
  <c r="DQ89" i="1"/>
  <c r="AP89" i="1"/>
  <c r="BQ89" i="1"/>
  <c r="BO80" i="1"/>
  <c r="CP80" i="1"/>
  <c r="DQ80" i="1"/>
  <c r="ER80" i="1"/>
  <c r="EZ80" i="1"/>
  <c r="FH80" i="1"/>
  <c r="AP80" i="1"/>
  <c r="DN47" i="1"/>
  <c r="BN47" i="1"/>
  <c r="AN47" i="1"/>
  <c r="FC40" i="1"/>
  <c r="FC41" i="1" s="1"/>
  <c r="EU52" i="1"/>
  <c r="FC52" i="1"/>
  <c r="FK52" i="1"/>
  <c r="EW40" i="1"/>
  <c r="EW41" i="1" s="1"/>
  <c r="FE40" i="1"/>
  <c r="FE41" i="1" s="1"/>
  <c r="EO52" i="1"/>
  <c r="EW52" i="1"/>
  <c r="FE52" i="1"/>
  <c r="FH41" i="1"/>
  <c r="EY40" i="1"/>
  <c r="EY41" i="1" s="1"/>
  <c r="FG40" i="1"/>
  <c r="FG41" i="1" s="1"/>
  <c r="EO50" i="1"/>
  <c r="DQ54" i="1"/>
  <c r="DP54" i="1"/>
  <c r="DO52" i="1"/>
  <c r="DO50" i="1"/>
  <c r="CP54" i="1"/>
  <c r="CQ54" i="1"/>
  <c r="CO52" i="1"/>
  <c r="CO50" i="1"/>
  <c r="BO50" i="1"/>
  <c r="BP54" i="1"/>
  <c r="BQ54" i="1"/>
  <c r="BO52" i="1"/>
  <c r="AQ54" i="1"/>
  <c r="AR52" i="1"/>
  <c r="AO54" i="1"/>
  <c r="AO53" i="1"/>
  <c r="AO46" i="1" s="1"/>
  <c r="AP50" i="1" s="1"/>
  <c r="AP54" i="1"/>
  <c r="AO50" i="1"/>
  <c r="P81" i="2"/>
  <c r="J117" i="1"/>
  <c r="J105" i="1"/>
  <c r="E107" i="1"/>
  <c r="R52" i="1"/>
  <c r="O52" i="1"/>
  <c r="P54" i="1"/>
  <c r="Q54" i="1"/>
  <c r="AO51" i="1" l="1" a="1"/>
  <c r="AO51" i="1" s="1"/>
  <c r="CR114" i="1"/>
  <c r="CR44" i="1"/>
  <c r="CR79" i="1"/>
  <c r="CO120" i="1"/>
  <c r="EP123" i="1"/>
  <c r="EP121" i="1" s="1" a="1"/>
  <c r="EP121" i="1" s="1"/>
  <c r="EP124" i="1" s="1"/>
  <c r="AQ124" i="1"/>
  <c r="O124" i="1"/>
  <c r="O123" i="1"/>
  <c r="O121" i="1" a="1"/>
  <c r="O121" i="1" s="1"/>
  <c r="BO120" i="1"/>
  <c r="AP124" i="1"/>
  <c r="AP123" i="1"/>
  <c r="AP121" i="1" s="1" a="1"/>
  <c r="AP121" i="1" s="1"/>
  <c r="CP124" i="1"/>
  <c r="AP120" i="1"/>
  <c r="BO124" i="1"/>
  <c r="BO123" i="1"/>
  <c r="BO121" i="1" s="1" a="1"/>
  <c r="BO121" i="1" s="1"/>
  <c r="BQ124" i="1"/>
  <c r="EP120" i="1"/>
  <c r="EP116" i="1" s="1"/>
  <c r="DQ124" i="1"/>
  <c r="CO124" i="1"/>
  <c r="CO123" i="1"/>
  <c r="CO121" i="1" s="1" a="1"/>
  <c r="CO121" i="1" s="1"/>
  <c r="P124" i="1"/>
  <c r="DO120" i="1"/>
  <c r="DO116" i="1"/>
  <c r="DP120" i="1" s="1"/>
  <c r="O120" i="1"/>
  <c r="O116" i="1"/>
  <c r="O117" i="1" s="1"/>
  <c r="CO85" i="1"/>
  <c r="CO81" i="1"/>
  <c r="EP88" i="1"/>
  <c r="EP86" i="1" s="1" a="1"/>
  <c r="EP86" i="1" s="1"/>
  <c r="EP89" i="1" s="1"/>
  <c r="EP85" i="1"/>
  <c r="AP85" i="1"/>
  <c r="BO85" i="1"/>
  <c r="BO81" i="1"/>
  <c r="AP88" i="1"/>
  <c r="AP86" i="1" s="1" a="1"/>
  <c r="AP86" i="1" s="1"/>
  <c r="P89" i="1"/>
  <c r="O85" i="1"/>
  <c r="O81" i="1"/>
  <c r="O82" i="1" s="1"/>
  <c r="O88" i="1"/>
  <c r="O89" i="1"/>
  <c r="O86" i="1" a="1"/>
  <c r="O86" i="1" s="1"/>
  <c r="AQ89" i="1"/>
  <c r="DO85" i="1"/>
  <c r="CP85" i="1"/>
  <c r="DO88" i="1"/>
  <c r="DO81" i="1" s="1"/>
  <c r="DO89" i="1"/>
  <c r="EO53" i="1"/>
  <c r="EO51" i="1" s="1" a="1"/>
  <c r="EO51" i="1" s="1"/>
  <c r="EO54" i="1" s="1"/>
  <c r="DO53" i="1"/>
  <c r="DO54" i="1"/>
  <c r="CO53" i="1"/>
  <c r="CO54" i="1"/>
  <c r="BO54" i="1"/>
  <c r="BO53" i="1"/>
  <c r="BO46" i="1" s="1"/>
  <c r="BO47" i="1" s="1"/>
  <c r="AR54" i="1"/>
  <c r="AO47" i="1"/>
  <c r="AP53" i="1"/>
  <c r="P82" i="2"/>
  <c r="J106" i="1"/>
  <c r="J107" i="1" s="1"/>
  <c r="R54" i="1"/>
  <c r="O50" i="1"/>
  <c r="O54" i="1"/>
  <c r="EO46" i="1" l="1"/>
  <c r="EP50" i="1" s="1"/>
  <c r="CR115" i="1"/>
  <c r="CR122" i="1"/>
  <c r="CR87" i="1"/>
  <c r="CR80" i="1"/>
  <c r="CR45" i="1"/>
  <c r="CR52" i="1"/>
  <c r="EP117" i="1"/>
  <c r="EQ123" i="1"/>
  <c r="EQ121" i="1" s="1" a="1"/>
  <c r="EQ121" i="1" s="1"/>
  <c r="EQ124" i="1" s="1"/>
  <c r="EQ120" i="1"/>
  <c r="AP116" i="1"/>
  <c r="BO116" i="1"/>
  <c r="DO117" i="1"/>
  <c r="DP123" i="1"/>
  <c r="P123" i="1"/>
  <c r="CO116" i="1"/>
  <c r="P120" i="1"/>
  <c r="DO82" i="1"/>
  <c r="DP88" i="1"/>
  <c r="DP85" i="1"/>
  <c r="DO86" i="1" a="1"/>
  <c r="DO86" i="1" s="1"/>
  <c r="CO82" i="1"/>
  <c r="CP88" i="1"/>
  <c r="AP81" i="1"/>
  <c r="P85" i="1"/>
  <c r="EP81" i="1"/>
  <c r="P88" i="1"/>
  <c r="BO82" i="1"/>
  <c r="BP85" i="1"/>
  <c r="BP88" i="1"/>
  <c r="EO47" i="1"/>
  <c r="EP53" i="1"/>
  <c r="EP51" i="1" s="1" a="1"/>
  <c r="EP51" i="1" s="1"/>
  <c r="EP54" i="1" s="1"/>
  <c r="DO51" i="1" a="1"/>
  <c r="DO51" i="1" s="1"/>
  <c r="DO46" i="1"/>
  <c r="CO51" i="1" a="1"/>
  <c r="CO51" i="1" s="1"/>
  <c r="CO46" i="1"/>
  <c r="BO51" i="1" a="1"/>
  <c r="BO51" i="1" s="1"/>
  <c r="BP53" i="1"/>
  <c r="BP50" i="1"/>
  <c r="AP51" i="1" a="1"/>
  <c r="AP51" i="1" s="1"/>
  <c r="AP46" i="1"/>
  <c r="AQ50" i="1" s="1"/>
  <c r="O53" i="1"/>
  <c r="N47" i="1"/>
  <c r="O51" i="1" l="1" a="1"/>
  <c r="O51" i="1" s="1"/>
  <c r="O46" i="1"/>
  <c r="P50" i="1" s="1"/>
  <c r="EP46" i="1"/>
  <c r="EP47" i="1" s="1"/>
  <c r="CO117" i="1"/>
  <c r="CP120" i="1"/>
  <c r="CP123" i="1"/>
  <c r="P116" i="1"/>
  <c r="P121" i="1" a="1"/>
  <c r="P121" i="1" s="1"/>
  <c r="DP121" i="1" a="1"/>
  <c r="DP121" i="1" s="1"/>
  <c r="DP116" i="1"/>
  <c r="BO117" i="1"/>
  <c r="BP120" i="1"/>
  <c r="BP123" i="1"/>
  <c r="AP117" i="1"/>
  <c r="AQ123" i="1"/>
  <c r="AQ120" i="1"/>
  <c r="EQ116" i="1"/>
  <c r="CP86" i="1" a="1"/>
  <c r="CP86" i="1" s="1"/>
  <c r="CP81" i="1"/>
  <c r="AP82" i="1"/>
  <c r="AQ85" i="1"/>
  <c r="AQ88" i="1"/>
  <c r="BP81" i="1"/>
  <c r="BP86" i="1" a="1"/>
  <c r="BP86" i="1" s="1"/>
  <c r="DP86" i="1" a="1"/>
  <c r="DP86" i="1" s="1"/>
  <c r="DP81" i="1"/>
  <c r="P86" i="1" a="1"/>
  <c r="P86" i="1" s="1"/>
  <c r="P81" i="1"/>
  <c r="EP82" i="1"/>
  <c r="EQ85" i="1"/>
  <c r="EQ81" i="1" s="1"/>
  <c r="EQ88" i="1"/>
  <c r="EQ86" i="1" s="1" a="1"/>
  <c r="EQ86" i="1" s="1"/>
  <c r="EQ89" i="1" s="1"/>
  <c r="AQ53" i="1"/>
  <c r="AQ46" i="1" s="1"/>
  <c r="AR50" i="1" s="1"/>
  <c r="EQ50" i="1"/>
  <c r="EQ53" i="1"/>
  <c r="EQ51" i="1" s="1" a="1"/>
  <c r="EQ51" i="1" s="1"/>
  <c r="EQ54" i="1" s="1"/>
  <c r="DP53" i="1"/>
  <c r="DP50" i="1"/>
  <c r="DO47" i="1"/>
  <c r="CP53" i="1"/>
  <c r="CO47" i="1"/>
  <c r="CP50" i="1"/>
  <c r="BP46" i="1"/>
  <c r="BP51" i="1" a="1"/>
  <c r="BP51" i="1" s="1"/>
  <c r="AP47" i="1"/>
  <c r="EY93" i="1"/>
  <c r="EY92" i="1"/>
  <c r="EY94" i="1" s="1"/>
  <c r="O47" i="1"/>
  <c r="P53" i="1"/>
  <c r="BP116" i="1" l="1"/>
  <c r="BP121" i="1" a="1"/>
  <c r="BP121" i="1" s="1"/>
  <c r="DP117" i="1"/>
  <c r="DQ120" i="1"/>
  <c r="DQ123" i="1"/>
  <c r="EQ117" i="1"/>
  <c r="ER123" i="1"/>
  <c r="ER121" i="1" s="1" a="1"/>
  <c r="ER121" i="1" s="1"/>
  <c r="ER124" i="1" s="1"/>
  <c r="ER120" i="1"/>
  <c r="AQ121" i="1" a="1"/>
  <c r="AQ121" i="1" s="1"/>
  <c r="AQ116" i="1"/>
  <c r="P117" i="1"/>
  <c r="Q123" i="1"/>
  <c r="Q120" i="1"/>
  <c r="CP121" i="1" a="1"/>
  <c r="CP121" i="1" s="1"/>
  <c r="CP116" i="1"/>
  <c r="CP82" i="1"/>
  <c r="CQ88" i="1"/>
  <c r="CQ85" i="1"/>
  <c r="DP82" i="1"/>
  <c r="DQ88" i="1"/>
  <c r="DQ85" i="1"/>
  <c r="BP82" i="1"/>
  <c r="BQ88" i="1"/>
  <c r="BQ85" i="1"/>
  <c r="EQ82" i="1"/>
  <c r="ER88" i="1"/>
  <c r="ER86" i="1" s="1" a="1"/>
  <c r="ER86" i="1" s="1"/>
  <c r="ER89" i="1" s="1"/>
  <c r="ER85" i="1"/>
  <c r="ER81" i="1" s="1"/>
  <c r="AQ81" i="1"/>
  <c r="AQ86" i="1" a="1"/>
  <c r="AQ86" i="1" s="1"/>
  <c r="P82" i="1"/>
  <c r="Q88" i="1"/>
  <c r="Q85" i="1"/>
  <c r="AQ51" i="1" a="1"/>
  <c r="AQ51" i="1" s="1"/>
  <c r="EQ46" i="1"/>
  <c r="ER50" i="1" s="1"/>
  <c r="DP51" i="1" a="1"/>
  <c r="DP51" i="1" s="1"/>
  <c r="DP46" i="1"/>
  <c r="CP51" i="1" a="1"/>
  <c r="CP51" i="1" s="1"/>
  <c r="CP46" i="1"/>
  <c r="BP47" i="1"/>
  <c r="BQ53" i="1"/>
  <c r="BQ50" i="1"/>
  <c r="AQ47" i="1"/>
  <c r="AR53" i="1"/>
  <c r="P51" i="1" a="1"/>
  <c r="P51" i="1" s="1"/>
  <c r="P46" i="1"/>
  <c r="Q50" i="1" s="1"/>
  <c r="BP117" i="1" l="1"/>
  <c r="BQ120" i="1"/>
  <c r="BQ123" i="1"/>
  <c r="ER116" i="1"/>
  <c r="Q121" i="1" a="1"/>
  <c r="Q121" i="1" s="1"/>
  <c r="Q116" i="1"/>
  <c r="AQ117" i="1"/>
  <c r="AR120" i="1"/>
  <c r="AR123" i="1"/>
  <c r="CP117" i="1"/>
  <c r="CQ123" i="1"/>
  <c r="CQ120" i="1"/>
  <c r="DQ121" i="1" a="1"/>
  <c r="DQ121" i="1" s="1"/>
  <c r="DQ116" i="1"/>
  <c r="DQ86" i="1" a="1"/>
  <c r="DQ86" i="1" s="1"/>
  <c r="DQ81" i="1"/>
  <c r="CQ86" i="1" a="1"/>
  <c r="CQ86" i="1" s="1"/>
  <c r="CQ81" i="1"/>
  <c r="Q86" i="1" a="1"/>
  <c r="Q86" i="1" s="1"/>
  <c r="Q81" i="1"/>
  <c r="BQ81" i="1"/>
  <c r="BQ86" i="1" a="1"/>
  <c r="BQ86" i="1" s="1"/>
  <c r="AQ82" i="1"/>
  <c r="AR88" i="1"/>
  <c r="AR85" i="1"/>
  <c r="ER82" i="1"/>
  <c r="ES85" i="1"/>
  <c r="ES81" i="1" s="1"/>
  <c r="ES88" i="1"/>
  <c r="ES86" i="1" s="1" a="1"/>
  <c r="ES86" i="1" s="1"/>
  <c r="ES89" i="1" s="1"/>
  <c r="EQ47" i="1"/>
  <c r="ER53" i="1"/>
  <c r="ER51" i="1" s="1" a="1"/>
  <c r="ER51" i="1" s="1"/>
  <c r="ER54" i="1" s="1"/>
  <c r="DQ50" i="1"/>
  <c r="DP47" i="1"/>
  <c r="DQ53" i="1"/>
  <c r="CP47" i="1"/>
  <c r="CQ53" i="1"/>
  <c r="CQ50" i="1"/>
  <c r="BQ46" i="1"/>
  <c r="BQ51" i="1" a="1"/>
  <c r="BQ51" i="1" s="1"/>
  <c r="AR51" i="1" a="1"/>
  <c r="AR51" i="1" s="1"/>
  <c r="AR46" i="1"/>
  <c r="Q53" i="1"/>
  <c r="P47" i="1"/>
  <c r="ER46" i="1" l="1"/>
  <c r="AR116" i="1"/>
  <c r="AR121" i="1" a="1"/>
  <c r="AR121" i="1" s="1"/>
  <c r="DQ117" i="1"/>
  <c r="Q117" i="1"/>
  <c r="R123" i="1"/>
  <c r="R120" i="1"/>
  <c r="ER117" i="1"/>
  <c r="ES120" i="1"/>
  <c r="ES116" i="1" s="1"/>
  <c r="ES123" i="1"/>
  <c r="ES121" i="1" s="1" a="1"/>
  <c r="ES121" i="1" s="1"/>
  <c r="ES124" i="1" s="1"/>
  <c r="CQ116" i="1"/>
  <c r="CQ121" i="1" a="1"/>
  <c r="CQ121" i="1" s="1"/>
  <c r="BQ121" i="1" a="1"/>
  <c r="BQ121" i="1" s="1"/>
  <c r="BQ116" i="1"/>
  <c r="AR86" i="1" a="1"/>
  <c r="AR86" i="1" s="1"/>
  <c r="AR81" i="1"/>
  <c r="DQ82" i="1"/>
  <c r="BQ82" i="1"/>
  <c r="BR88" i="1"/>
  <c r="BR85" i="1"/>
  <c r="Q82" i="1"/>
  <c r="R88" i="1"/>
  <c r="R85" i="1"/>
  <c r="ES82" i="1"/>
  <c r="ET85" i="1"/>
  <c r="ET81" i="1" s="1"/>
  <c r="ET88" i="1"/>
  <c r="ET86" i="1" s="1" a="1"/>
  <c r="ET86" i="1" s="1"/>
  <c r="ET89" i="1" s="1"/>
  <c r="CQ82" i="1"/>
  <c r="CR88" i="1"/>
  <c r="CR85" i="1"/>
  <c r="ES50" i="1"/>
  <c r="DQ51" i="1" a="1"/>
  <c r="DQ51" i="1" s="1"/>
  <c r="DQ46" i="1"/>
  <c r="CQ46" i="1"/>
  <c r="CQ51" i="1" a="1"/>
  <c r="CQ51" i="1" s="1"/>
  <c r="BQ47" i="1"/>
  <c r="BR50" i="1"/>
  <c r="BR53" i="1"/>
  <c r="AR47" i="1"/>
  <c r="Q51" i="1" a="1"/>
  <c r="Q51" i="1" s="1"/>
  <c r="Q46" i="1"/>
  <c r="ER47" i="1" l="1"/>
  <c r="ES53" i="1"/>
  <c r="ES51" i="1" s="1" a="1"/>
  <c r="ES51" i="1" s="1"/>
  <c r="ES54" i="1" s="1"/>
  <c r="BQ117" i="1"/>
  <c r="BR120" i="1"/>
  <c r="BR123" i="1"/>
  <c r="ES117" i="1"/>
  <c r="ET123" i="1"/>
  <c r="ET121" i="1" s="1" a="1"/>
  <c r="ET121" i="1" s="1"/>
  <c r="ET124" i="1" s="1"/>
  <c r="ET120" i="1"/>
  <c r="ET116" i="1" s="1"/>
  <c r="AR117" i="1"/>
  <c r="R116" i="1"/>
  <c r="R121" i="1" a="1"/>
  <c r="R121" i="1" s="1"/>
  <c r="CQ117" i="1"/>
  <c r="CR120" i="1"/>
  <c r="CR123" i="1"/>
  <c r="R86" i="1" a="1"/>
  <c r="R86" i="1" s="1"/>
  <c r="R81" i="1"/>
  <c r="AR82" i="1"/>
  <c r="CR86" i="1" a="1"/>
  <c r="CR86" i="1" s="1"/>
  <c r="CR89" i="1" s="1"/>
  <c r="CR81" i="1"/>
  <c r="BR86" i="1" a="1"/>
  <c r="BR86" i="1" s="1"/>
  <c r="BR89" i="1" s="1"/>
  <c r="BR81" i="1"/>
  <c r="ET82" i="1"/>
  <c r="EU88" i="1"/>
  <c r="EU86" i="1" s="1" a="1"/>
  <c r="EU86" i="1" s="1"/>
  <c r="EU89" i="1" s="1"/>
  <c r="EU85" i="1"/>
  <c r="EU81" i="1" s="1"/>
  <c r="ES46" i="1"/>
  <c r="DQ47" i="1"/>
  <c r="CR53" i="1"/>
  <c r="CR50" i="1"/>
  <c r="CQ47" i="1"/>
  <c r="BR46" i="1"/>
  <c r="BR51" i="1" a="1"/>
  <c r="BR51" i="1" s="1"/>
  <c r="BR54" i="1" s="1"/>
  <c r="Q47" i="1"/>
  <c r="R50" i="1"/>
  <c r="R53" i="1"/>
  <c r="CR121" i="1" l="1" a="1"/>
  <c r="CR121" i="1" s="1"/>
  <c r="CR124" i="1" s="1"/>
  <c r="CR116" i="1"/>
  <c r="R117" i="1"/>
  <c r="ET117" i="1"/>
  <c r="EU123" i="1"/>
  <c r="EU121" i="1" s="1" a="1"/>
  <c r="EU121" i="1" s="1"/>
  <c r="EU124" i="1" s="1"/>
  <c r="EU120" i="1"/>
  <c r="EU116" i="1" s="1"/>
  <c r="BR116" i="1"/>
  <c r="BR121" i="1" a="1"/>
  <c r="BR121" i="1" s="1"/>
  <c r="BR124" i="1" s="1"/>
  <c r="R82" i="1"/>
  <c r="BR82" i="1"/>
  <c r="CR82" i="1"/>
  <c r="EU82" i="1"/>
  <c r="EV88" i="1"/>
  <c r="EV86" i="1" s="1" a="1"/>
  <c r="EV86" i="1" s="1"/>
  <c r="EV89" i="1" s="1"/>
  <c r="EV85" i="1"/>
  <c r="EV81" i="1" s="1"/>
  <c r="ET53" i="1"/>
  <c r="ET51" i="1" s="1" a="1"/>
  <c r="ET51" i="1" s="1"/>
  <c r="ET54" i="1" s="1"/>
  <c r="ET50" i="1"/>
  <c r="ES47" i="1"/>
  <c r="CR51" i="1" a="1"/>
  <c r="CR51" i="1" s="1"/>
  <c r="CR54" i="1" s="1"/>
  <c r="CR46" i="1"/>
  <c r="BR47" i="1"/>
  <c r="R51" i="1" a="1"/>
  <c r="R51" i="1" s="1"/>
  <c r="R46" i="1"/>
  <c r="R47" i="1" s="1"/>
  <c r="ET46" i="1" l="1"/>
  <c r="CR117" i="1"/>
  <c r="EU117" i="1"/>
  <c r="EV120" i="1"/>
  <c r="EV123" i="1"/>
  <c r="EV121" i="1" s="1" a="1"/>
  <c r="EV121" i="1" s="1"/>
  <c r="EV124" i="1" s="1"/>
  <c r="BR117" i="1"/>
  <c r="EV82" i="1"/>
  <c r="EW85" i="1"/>
  <c r="EW88" i="1"/>
  <c r="EW86" i="1" s="1" a="1"/>
  <c r="EW86" i="1" s="1"/>
  <c r="EW89" i="1" s="1"/>
  <c r="ET47" i="1"/>
  <c r="EU50" i="1"/>
  <c r="EU53" i="1"/>
  <c r="EU51" i="1" s="1" a="1"/>
  <c r="EU51" i="1" s="1"/>
  <c r="EU54" i="1" s="1"/>
  <c r="CR47" i="1"/>
  <c r="EV116" i="1" l="1"/>
  <c r="EW81" i="1"/>
  <c r="EU46" i="1"/>
  <c r="EU47" i="1"/>
  <c r="EV53" i="1"/>
  <c r="EV51" i="1" s="1" a="1"/>
  <c r="EV51" i="1" s="1"/>
  <c r="EV54" i="1" s="1"/>
  <c r="EV50" i="1"/>
  <c r="AY63" i="1"/>
  <c r="EV117" i="1" l="1"/>
  <c r="EW120" i="1"/>
  <c r="EW123" i="1"/>
  <c r="EW121" i="1" s="1" a="1"/>
  <c r="EW121" i="1" s="1"/>
  <c r="EW124" i="1" s="1"/>
  <c r="EW82" i="1"/>
  <c r="EX85" i="1"/>
  <c r="EX88" i="1"/>
  <c r="EX86" i="1" s="1" a="1"/>
  <c r="EX86" i="1" s="1"/>
  <c r="EX89" i="1" s="1"/>
  <c r="EV46" i="1"/>
  <c r="DY62" i="1"/>
  <c r="CY62" i="1"/>
  <c r="J79" i="1"/>
  <c r="J82" i="1" s="1"/>
  <c r="J65" i="1"/>
  <c r="E65" i="1"/>
  <c r="E63" i="1"/>
  <c r="E62" i="1"/>
  <c r="E61" i="1"/>
  <c r="J37" i="2"/>
  <c r="J39" i="2"/>
  <c r="J40" i="2"/>
  <c r="E44" i="2"/>
  <c r="E45" i="2"/>
  <c r="E82" i="1"/>
  <c r="E75" i="1"/>
  <c r="FK14" i="1"/>
  <c r="EY27" i="1" s="1"/>
  <c r="EY28" i="1" s="1"/>
  <c r="EW116" i="1" l="1"/>
  <c r="EX81" i="1"/>
  <c r="EV47" i="1"/>
  <c r="EW53" i="1"/>
  <c r="EW51" i="1" s="1" a="1"/>
  <c r="EW51" i="1" s="1"/>
  <c r="EW54" i="1" s="1"/>
  <c r="EW50" i="1"/>
  <c r="EW46" i="1" s="1"/>
  <c r="J94" i="1"/>
  <c r="J93" i="1" s="1"/>
  <c r="E72" i="1"/>
  <c r="J59" i="1"/>
  <c r="E46" i="2" s="1"/>
  <c r="J70" i="1"/>
  <c r="J41" i="2"/>
  <c r="EW117" i="1" l="1"/>
  <c r="EX123" i="1"/>
  <c r="EX121" i="1" s="1" a="1"/>
  <c r="EX121" i="1" s="1"/>
  <c r="EX124" i="1" s="1"/>
  <c r="EX120" i="1"/>
  <c r="EX116" i="1" s="1"/>
  <c r="EX82" i="1"/>
  <c r="EY85" i="1"/>
  <c r="EY88" i="1"/>
  <c r="EY86" i="1" s="1" a="1"/>
  <c r="EY86" i="1" s="1"/>
  <c r="EY89" i="1" s="1"/>
  <c r="EW47" i="1"/>
  <c r="EX50" i="1"/>
  <c r="EX53" i="1"/>
  <c r="EX51" i="1" s="1" a="1"/>
  <c r="EX51" i="1" s="1"/>
  <c r="EX54" i="1" s="1"/>
  <c r="J58" i="1"/>
  <c r="EX117" i="1" l="1"/>
  <c r="EY123" i="1"/>
  <c r="EY121" i="1" s="1" a="1"/>
  <c r="EY121" i="1" s="1"/>
  <c r="EY124" i="1" s="1"/>
  <c r="EY120" i="1"/>
  <c r="EY116" i="1" s="1"/>
  <c r="EY81" i="1"/>
  <c r="EX46" i="1"/>
  <c r="EY57" i="1"/>
  <c r="T16" i="1"/>
  <c r="U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V16" i="1"/>
  <c r="AK16" i="1"/>
  <c r="AJ16" i="1"/>
  <c r="S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D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CV16" i="1"/>
  <c r="DY27" i="1"/>
  <c r="DU16" i="1" s="1"/>
  <c r="CS16" i="1"/>
  <c r="CT16" i="1"/>
  <c r="DK16" i="1"/>
  <c r="DJ16" i="1"/>
  <c r="CJ16" i="1"/>
  <c r="BY27" i="1"/>
  <c r="BW16" i="1" s="1"/>
  <c r="BK16" i="1"/>
  <c r="BJ16" i="1"/>
  <c r="AW16" i="1"/>
  <c r="BU16" i="1"/>
  <c r="BT16" i="1"/>
  <c r="BS16" i="1"/>
  <c r="AT16" i="1"/>
  <c r="AS16" i="1"/>
  <c r="AU16" i="1"/>
  <c r="CU16" i="1"/>
  <c r="CY27" i="1"/>
  <c r="CY28" i="1" s="1"/>
  <c r="E47" i="1"/>
  <c r="J35" i="1" s="1"/>
  <c r="E43" i="1"/>
  <c r="J17" i="1"/>
  <c r="B3" i="3" s="1"/>
  <c r="E15" i="2"/>
  <c r="E16" i="2"/>
  <c r="J24" i="1"/>
  <c r="J11" i="2"/>
  <c r="J10" i="2"/>
  <c r="J8" i="2"/>
  <c r="E29" i="1"/>
  <c r="E64" i="1" s="1"/>
  <c r="P47" i="2"/>
  <c r="P49" i="2" s="1"/>
  <c r="P52" i="2" s="1"/>
  <c r="P53" i="2" s="1"/>
  <c r="E24" i="1"/>
  <c r="E9" i="2"/>
  <c r="P18" i="2" s="1"/>
  <c r="V27" i="2" s="1"/>
  <c r="V56" i="2"/>
  <c r="J47" i="1"/>
  <c r="E40" i="1"/>
  <c r="E18" i="1"/>
  <c r="J14" i="1" s="1"/>
  <c r="J16" i="1" s="1"/>
  <c r="E6" i="3"/>
  <c r="F6" i="3"/>
  <c r="G6" i="3"/>
  <c r="H6" i="3"/>
  <c r="I6" i="3"/>
  <c r="J6" i="3"/>
  <c r="M6" i="3"/>
  <c r="N6" i="3"/>
  <c r="O6" i="3"/>
  <c r="P6" i="3"/>
  <c r="Q6" i="3"/>
  <c r="R6" i="3"/>
  <c r="U6" i="3"/>
  <c r="V6" i="3"/>
  <c r="W6" i="3"/>
  <c r="X6" i="3"/>
  <c r="Y6" i="3"/>
  <c r="B6" i="3"/>
  <c r="Z5" i="3"/>
  <c r="C6" i="3"/>
  <c r="T6" i="3"/>
  <c r="L6" i="3"/>
  <c r="D6" i="3"/>
  <c r="S6" i="3"/>
  <c r="K6" i="3"/>
  <c r="E25" i="1" l="1"/>
  <c r="E60" i="1" s="1"/>
  <c r="E95" i="1" s="1"/>
  <c r="J23" i="1"/>
  <c r="P20" i="2"/>
  <c r="P23" i="2" s="1"/>
  <c r="P24" i="2" s="1"/>
  <c r="DI44" i="1"/>
  <c r="DI52" i="1" s="1"/>
  <c r="DI79" i="1"/>
  <c r="DI114" i="1"/>
  <c r="EG114" i="1"/>
  <c r="EG79" i="1"/>
  <c r="AH79" i="1"/>
  <c r="AH114" i="1"/>
  <c r="AT44" i="1"/>
  <c r="AT45" i="1" s="1"/>
  <c r="AT114" i="1"/>
  <c r="AT79" i="1"/>
  <c r="DH44" i="1"/>
  <c r="DH40" i="1" s="1"/>
  <c r="DH41" i="1" s="1"/>
  <c r="DH45" i="1" s="1"/>
  <c r="DH79" i="1"/>
  <c r="DH114" i="1"/>
  <c r="CZ44" i="1"/>
  <c r="CZ40" i="1" s="1"/>
  <c r="CZ41" i="1" s="1"/>
  <c r="CZ45" i="1" s="1"/>
  <c r="CZ79" i="1"/>
  <c r="CZ114" i="1"/>
  <c r="EF114" i="1"/>
  <c r="EF79" i="1"/>
  <c r="DX114" i="1"/>
  <c r="DX79" i="1"/>
  <c r="Y79" i="1"/>
  <c r="Y114" i="1"/>
  <c r="BS44" i="1"/>
  <c r="BS52" i="1" s="1"/>
  <c r="BS79" i="1"/>
  <c r="BS114" i="1"/>
  <c r="DJ44" i="1"/>
  <c r="DJ52" i="1" s="1"/>
  <c r="DJ114" i="1"/>
  <c r="DJ79" i="1"/>
  <c r="DG44" i="1"/>
  <c r="DG52" i="1" s="1"/>
  <c r="DG114" i="1"/>
  <c r="DG79" i="1"/>
  <c r="CY44" i="1"/>
  <c r="CY52" i="1" s="1"/>
  <c r="CY114" i="1"/>
  <c r="CY79" i="1"/>
  <c r="EE114" i="1"/>
  <c r="EE79" i="1"/>
  <c r="DW114" i="1"/>
  <c r="DW79" i="1"/>
  <c r="AF79" i="1"/>
  <c r="AF114" i="1"/>
  <c r="X79" i="1"/>
  <c r="X114" i="1"/>
  <c r="BT44" i="1"/>
  <c r="BT45" i="1" s="1"/>
  <c r="BT79" i="1"/>
  <c r="BT114" i="1"/>
  <c r="DK44" i="1"/>
  <c r="DK45" i="1" s="1"/>
  <c r="DK79" i="1"/>
  <c r="DK114" i="1"/>
  <c r="DF44" i="1"/>
  <c r="DF52" i="1" s="1"/>
  <c r="DF114" i="1"/>
  <c r="DF79" i="1"/>
  <c r="CX44" i="1"/>
  <c r="CX52" i="1" s="1"/>
  <c r="CX114" i="1"/>
  <c r="CX79" i="1"/>
  <c r="ED79" i="1"/>
  <c r="ED114" i="1"/>
  <c r="S114" i="1"/>
  <c r="S79" i="1"/>
  <c r="AE79" i="1"/>
  <c r="AE114" i="1"/>
  <c r="W79" i="1"/>
  <c r="W114" i="1"/>
  <c r="AS44" i="1"/>
  <c r="AS52" i="1" s="1"/>
  <c r="AS79" i="1"/>
  <c r="AS114" i="1"/>
  <c r="EC79" i="1"/>
  <c r="EC114" i="1"/>
  <c r="DA44" i="1"/>
  <c r="DA40" i="1" s="1"/>
  <c r="DA41" i="1" s="1"/>
  <c r="DA45" i="1" s="1"/>
  <c r="DA79" i="1"/>
  <c r="DA114" i="1"/>
  <c r="DE44" i="1"/>
  <c r="DE40" i="1" s="1"/>
  <c r="DE41" i="1" s="1"/>
  <c r="DE45" i="1" s="1"/>
  <c r="DE114" i="1"/>
  <c r="DE79" i="1"/>
  <c r="AJ114" i="1"/>
  <c r="AJ79" i="1"/>
  <c r="AW114" i="1"/>
  <c r="AW79" i="1"/>
  <c r="DV79" i="1"/>
  <c r="DV114" i="1"/>
  <c r="AC114" i="1"/>
  <c r="AC79" i="1"/>
  <c r="CK44" i="1"/>
  <c r="CK45" i="1" s="1"/>
  <c r="CK114" i="1"/>
  <c r="CK79" i="1"/>
  <c r="DU79" i="1"/>
  <c r="DU114" i="1"/>
  <c r="DC44" i="1"/>
  <c r="DC40" i="1" s="1"/>
  <c r="DC41" i="1" s="1"/>
  <c r="DC45" i="1" s="1"/>
  <c r="DC114" i="1"/>
  <c r="DC79" i="1"/>
  <c r="EI79" i="1"/>
  <c r="EI114" i="1"/>
  <c r="EA79" i="1"/>
  <c r="EA114" i="1"/>
  <c r="V114" i="1"/>
  <c r="V79" i="1"/>
  <c r="AB114" i="1"/>
  <c r="AB79" i="1"/>
  <c r="BU44" i="1"/>
  <c r="BU45" i="1" s="1"/>
  <c r="BU114" i="1"/>
  <c r="BU79" i="1"/>
  <c r="CT44" i="1"/>
  <c r="CT52" i="1" s="1"/>
  <c r="CT79" i="1"/>
  <c r="CT114" i="1"/>
  <c r="CW44" i="1"/>
  <c r="CW114" i="1"/>
  <c r="CW79" i="1"/>
  <c r="AD114" i="1"/>
  <c r="AD79" i="1"/>
  <c r="U114" i="1"/>
  <c r="U79" i="1"/>
  <c r="CU44" i="1"/>
  <c r="CU45" i="1" s="1"/>
  <c r="CU79" i="1"/>
  <c r="CU114" i="1"/>
  <c r="CS44" i="1"/>
  <c r="CS45" i="1" s="1"/>
  <c r="CS79" i="1"/>
  <c r="CS114" i="1"/>
  <c r="DD44" i="1"/>
  <c r="DD52" i="1" s="1"/>
  <c r="DD114" i="1"/>
  <c r="DD79" i="1"/>
  <c r="EB79" i="1"/>
  <c r="EB114" i="1"/>
  <c r="AK114" i="1"/>
  <c r="AK79" i="1"/>
  <c r="T114" i="1"/>
  <c r="T79" i="1"/>
  <c r="BJ44" i="1"/>
  <c r="BJ52" i="1" s="1"/>
  <c r="BJ114" i="1"/>
  <c r="BJ79" i="1"/>
  <c r="AU44" i="1"/>
  <c r="AU45" i="1" s="1"/>
  <c r="AU114" i="1"/>
  <c r="AU79" i="1"/>
  <c r="BK44" i="1"/>
  <c r="BK45" i="1" s="1"/>
  <c r="BK114" i="1"/>
  <c r="BK79" i="1"/>
  <c r="CV44" i="1"/>
  <c r="CV52" i="1" s="1"/>
  <c r="CV114" i="1"/>
  <c r="CV79" i="1"/>
  <c r="DB44" i="1"/>
  <c r="DB40" i="1" s="1"/>
  <c r="DB41" i="1" s="1"/>
  <c r="DB45" i="1" s="1"/>
  <c r="DB79" i="1"/>
  <c r="DB114" i="1"/>
  <c r="EH114" i="1"/>
  <c r="EH79" i="1"/>
  <c r="DZ114" i="1"/>
  <c r="DZ79" i="1"/>
  <c r="AI114" i="1"/>
  <c r="AI79" i="1"/>
  <c r="AA114" i="1"/>
  <c r="AA79" i="1"/>
  <c r="BW114" i="1"/>
  <c r="BW79" i="1"/>
  <c r="DY114" i="1"/>
  <c r="DY79" i="1"/>
  <c r="Z79" i="1"/>
  <c r="Z114" i="1"/>
  <c r="CJ44" i="1"/>
  <c r="CJ45" i="1" s="1"/>
  <c r="CJ79" i="1"/>
  <c r="CJ114" i="1"/>
  <c r="AG114" i="1"/>
  <c r="AG79" i="1"/>
  <c r="EY117" i="1"/>
  <c r="EZ123" i="1"/>
  <c r="EZ121" i="1" s="1" a="1"/>
  <c r="EZ121" i="1" s="1"/>
  <c r="EZ124" i="1" s="1"/>
  <c r="EZ120" i="1"/>
  <c r="EY82" i="1"/>
  <c r="EZ88" i="1"/>
  <c r="EZ86" i="1" s="1" a="1"/>
  <c r="EZ86" i="1" s="1"/>
  <c r="EZ89" i="1" s="1"/>
  <c r="EZ85" i="1"/>
  <c r="EF44" i="1"/>
  <c r="EE44" i="1"/>
  <c r="DW44" i="1"/>
  <c r="ED44" i="1"/>
  <c r="DX44" i="1"/>
  <c r="EC44" i="1"/>
  <c r="AW44" i="1"/>
  <c r="DV44" i="1"/>
  <c r="EB44" i="1"/>
  <c r="DU44" i="1"/>
  <c r="EI44" i="1"/>
  <c r="EA44" i="1"/>
  <c r="CK52" i="1"/>
  <c r="EH44" i="1"/>
  <c r="DZ44" i="1"/>
  <c r="BW44" i="1"/>
  <c r="EG44" i="1"/>
  <c r="DY44" i="1"/>
  <c r="EX47" i="1"/>
  <c r="EY53" i="1"/>
  <c r="EY51" i="1" s="1" a="1"/>
  <c r="EY51" i="1" s="1"/>
  <c r="EY54" i="1" s="1"/>
  <c r="EY50" i="1"/>
  <c r="AI44" i="1"/>
  <c r="AH44" i="1"/>
  <c r="AG44" i="1"/>
  <c r="AF44" i="1"/>
  <c r="S44" i="1"/>
  <c r="S45" i="1" s="1"/>
  <c r="AE44" i="1"/>
  <c r="AJ44" i="1"/>
  <c r="AJ45" i="1" s="1"/>
  <c r="AD44" i="1"/>
  <c r="U44" i="1"/>
  <c r="U45" i="1" s="1"/>
  <c r="AK44" i="1"/>
  <c r="AK45" i="1" s="1"/>
  <c r="T44" i="1"/>
  <c r="T45" i="1" s="1"/>
  <c r="Y44" i="1"/>
  <c r="X44" i="1"/>
  <c r="W44" i="1"/>
  <c r="V44" i="1"/>
  <c r="AB44" i="1"/>
  <c r="AA44" i="1"/>
  <c r="Z44" i="1"/>
  <c r="AC44" i="1"/>
  <c r="E31" i="1"/>
  <c r="J7" i="2" s="1"/>
  <c r="J9" i="2" s="1"/>
  <c r="J67" i="2"/>
  <c r="E37" i="1"/>
  <c r="J12" i="2"/>
  <c r="D7" i="3"/>
  <c r="H7" i="3"/>
  <c r="L7" i="3"/>
  <c r="P7" i="3"/>
  <c r="T7" i="3"/>
  <c r="O7" i="3"/>
  <c r="C7" i="3"/>
  <c r="W7" i="3"/>
  <c r="E7" i="3"/>
  <c r="I7" i="3"/>
  <c r="M7" i="3"/>
  <c r="Q7" i="3"/>
  <c r="U7" i="3"/>
  <c r="K7" i="3"/>
  <c r="Y7" i="3"/>
  <c r="G7" i="3"/>
  <c r="B7" i="3"/>
  <c r="F7" i="3"/>
  <c r="J7" i="3"/>
  <c r="N7" i="3"/>
  <c r="R7" i="3"/>
  <c r="V7" i="3"/>
  <c r="S7" i="3"/>
  <c r="X7" i="3"/>
  <c r="BY28" i="1"/>
  <c r="J36" i="1"/>
  <c r="J37" i="1" s="1"/>
  <c r="AK14" i="1"/>
  <c r="E44" i="1"/>
  <c r="DK14" i="1"/>
  <c r="AY28" i="1"/>
  <c r="BC16" i="1"/>
  <c r="BA16" i="1"/>
  <c r="BV16" i="1"/>
  <c r="BI16" i="1"/>
  <c r="CD16" i="1"/>
  <c r="DT16" i="1"/>
  <c r="BD16" i="1"/>
  <c r="CB16" i="1"/>
  <c r="DS16" i="1"/>
  <c r="AV16" i="1"/>
  <c r="BB16" i="1"/>
  <c r="CC16" i="1"/>
  <c r="DR16" i="1"/>
  <c r="EJ16" i="1"/>
  <c r="BH16" i="1"/>
  <c r="AZ16" i="1"/>
  <c r="CI16" i="1"/>
  <c r="CA16" i="1"/>
  <c r="EK16" i="1"/>
  <c r="BG16" i="1"/>
  <c r="AY16" i="1"/>
  <c r="CH16" i="1"/>
  <c r="BZ16" i="1"/>
  <c r="BF16" i="1"/>
  <c r="AX16" i="1"/>
  <c r="CG16" i="1"/>
  <c r="BY16" i="1"/>
  <c r="DY28" i="1"/>
  <c r="BE16" i="1"/>
  <c r="CF16" i="1"/>
  <c r="BX16" i="1"/>
  <c r="CE16" i="1"/>
  <c r="V108" i="1" l="1"/>
  <c r="AV108" i="1" s="1"/>
  <c r="BV108" i="1" s="1"/>
  <c r="CV108" i="1" s="1"/>
  <c r="DV108" i="1" s="1"/>
  <c r="EV108" i="1" s="1"/>
  <c r="V38" i="1"/>
  <c r="AV38" i="1" s="1"/>
  <c r="BV38" i="1" s="1"/>
  <c r="CV38" i="1" s="1"/>
  <c r="DV38" i="1" s="1"/>
  <c r="EV38" i="1" s="1"/>
  <c r="V73" i="1"/>
  <c r="AV73" i="1" s="1"/>
  <c r="BV73" i="1" s="1"/>
  <c r="CV73" i="1" s="1"/>
  <c r="DV73" i="1" s="1"/>
  <c r="EV73" i="1" s="1"/>
  <c r="S38" i="1"/>
  <c r="AS38" i="1" s="1"/>
  <c r="BS38" i="1" s="1"/>
  <c r="CS38" i="1" s="1"/>
  <c r="DS38" i="1" s="1"/>
  <c r="ES38" i="1" s="1"/>
  <c r="S108" i="1"/>
  <c r="AS108" i="1" s="1"/>
  <c r="BS108" i="1" s="1"/>
  <c r="CS108" i="1" s="1"/>
  <c r="DS108" i="1" s="1"/>
  <c r="ES108" i="1" s="1"/>
  <c r="S73" i="1"/>
  <c r="AS73" i="1" s="1"/>
  <c r="BS73" i="1" s="1"/>
  <c r="CS73" i="1" s="1"/>
  <c r="DS73" i="1" s="1"/>
  <c r="ES73" i="1" s="1"/>
  <c r="AC73" i="1"/>
  <c r="BC73" i="1" s="1"/>
  <c r="CC73" i="1" s="1"/>
  <c r="DC73" i="1" s="1"/>
  <c r="EC73" i="1" s="1"/>
  <c r="FC73" i="1" s="1"/>
  <c r="AC38" i="1"/>
  <c r="BC38" i="1" s="1"/>
  <c r="CC38" i="1" s="1"/>
  <c r="DC38" i="1" s="1"/>
  <c r="EC38" i="1" s="1"/>
  <c r="FC38" i="1" s="1"/>
  <c r="AC108" i="1"/>
  <c r="BC108" i="1" s="1"/>
  <c r="CC108" i="1" s="1"/>
  <c r="DC108" i="1" s="1"/>
  <c r="EC108" i="1" s="1"/>
  <c r="FC108" i="1" s="1"/>
  <c r="U108" i="1"/>
  <c r="AU108" i="1" s="1"/>
  <c r="BU108" i="1" s="1"/>
  <c r="CU108" i="1" s="1"/>
  <c r="DU108" i="1" s="1"/>
  <c r="EU108" i="1" s="1"/>
  <c r="U73" i="1"/>
  <c r="AU73" i="1" s="1"/>
  <c r="BU73" i="1" s="1"/>
  <c r="CU73" i="1" s="1"/>
  <c r="DU73" i="1" s="1"/>
  <c r="EU73" i="1" s="1"/>
  <c r="U38" i="1"/>
  <c r="AU38" i="1" s="1"/>
  <c r="BU38" i="1" s="1"/>
  <c r="CU38" i="1" s="1"/>
  <c r="DU38" i="1" s="1"/>
  <c r="EU38" i="1" s="1"/>
  <c r="Q108" i="1"/>
  <c r="AQ108" i="1" s="1"/>
  <c r="BQ108" i="1" s="1"/>
  <c r="CQ108" i="1" s="1"/>
  <c r="DQ108" i="1" s="1"/>
  <c r="EQ108" i="1" s="1"/>
  <c r="Q73" i="1"/>
  <c r="AQ73" i="1" s="1"/>
  <c r="BQ73" i="1" s="1"/>
  <c r="CQ73" i="1" s="1"/>
  <c r="DQ73" i="1" s="1"/>
  <c r="EQ73" i="1" s="1"/>
  <c r="Q38" i="1"/>
  <c r="AQ38" i="1" s="1"/>
  <c r="BQ38" i="1" s="1"/>
  <c r="CQ38" i="1" s="1"/>
  <c r="DQ38" i="1" s="1"/>
  <c r="EQ38" i="1" s="1"/>
  <c r="AI108" i="1"/>
  <c r="BI108" i="1" s="1"/>
  <c r="CI108" i="1" s="1"/>
  <c r="DI108" i="1" s="1"/>
  <c r="EI108" i="1" s="1"/>
  <c r="FI108" i="1" s="1"/>
  <c r="AI73" i="1"/>
  <c r="BI73" i="1" s="1"/>
  <c r="CI73" i="1" s="1"/>
  <c r="DI73" i="1" s="1"/>
  <c r="EI73" i="1" s="1"/>
  <c r="FI73" i="1" s="1"/>
  <c r="AI38" i="1"/>
  <c r="BI38" i="1" s="1"/>
  <c r="CI38" i="1" s="1"/>
  <c r="DI38" i="1" s="1"/>
  <c r="EI38" i="1" s="1"/>
  <c r="FI38" i="1" s="1"/>
  <c r="Z73" i="1"/>
  <c r="AZ73" i="1" s="1"/>
  <c r="BZ73" i="1" s="1"/>
  <c r="CZ73" i="1" s="1"/>
  <c r="DZ73" i="1" s="1"/>
  <c r="EZ73" i="1" s="1"/>
  <c r="Z38" i="1"/>
  <c r="AZ38" i="1" s="1"/>
  <c r="BZ38" i="1" s="1"/>
  <c r="CZ38" i="1" s="1"/>
  <c r="DZ38" i="1" s="1"/>
  <c r="EZ38" i="1" s="1"/>
  <c r="Z108" i="1"/>
  <c r="AZ108" i="1" s="1"/>
  <c r="BZ108" i="1" s="1"/>
  <c r="CZ108" i="1" s="1"/>
  <c r="DZ108" i="1" s="1"/>
  <c r="EZ108" i="1" s="1"/>
  <c r="O73" i="1"/>
  <c r="AO73" i="1" s="1"/>
  <c r="BO73" i="1" s="1"/>
  <c r="CO73" i="1" s="1"/>
  <c r="DO73" i="1" s="1"/>
  <c r="EO73" i="1" s="1"/>
  <c r="O38" i="1"/>
  <c r="AO38" i="1" s="1"/>
  <c r="BO38" i="1" s="1"/>
  <c r="CO38" i="1" s="1"/>
  <c r="DO38" i="1" s="1"/>
  <c r="EO38" i="1" s="1"/>
  <c r="O108" i="1"/>
  <c r="AO108" i="1" s="1"/>
  <c r="BO108" i="1" s="1"/>
  <c r="CO108" i="1" s="1"/>
  <c r="DO108" i="1" s="1"/>
  <c r="EO108" i="1" s="1"/>
  <c r="AA73" i="1"/>
  <c r="BA73" i="1" s="1"/>
  <c r="CA73" i="1" s="1"/>
  <c r="DA73" i="1" s="1"/>
  <c r="EA73" i="1" s="1"/>
  <c r="FA73" i="1" s="1"/>
  <c r="AA108" i="1"/>
  <c r="BA108" i="1" s="1"/>
  <c r="CA108" i="1" s="1"/>
  <c r="DA108" i="1" s="1"/>
  <c r="EA108" i="1" s="1"/>
  <c r="FA108" i="1" s="1"/>
  <c r="AA38" i="1"/>
  <c r="BA38" i="1" s="1"/>
  <c r="CA38" i="1" s="1"/>
  <c r="DA38" i="1" s="1"/>
  <c r="EA38" i="1" s="1"/>
  <c r="FA38" i="1" s="1"/>
  <c r="AF38" i="1"/>
  <c r="BF38" i="1" s="1"/>
  <c r="CF38" i="1" s="1"/>
  <c r="DF38" i="1" s="1"/>
  <c r="EF38" i="1" s="1"/>
  <c r="FF38" i="1" s="1"/>
  <c r="AF108" i="1"/>
  <c r="BF108" i="1" s="1"/>
  <c r="CF108" i="1" s="1"/>
  <c r="DF108" i="1" s="1"/>
  <c r="EF108" i="1" s="1"/>
  <c r="FF108" i="1" s="1"/>
  <c r="AF73" i="1"/>
  <c r="BF73" i="1" s="1"/>
  <c r="CF73" i="1" s="1"/>
  <c r="DF73" i="1" s="1"/>
  <c r="EF73" i="1" s="1"/>
  <c r="FF73" i="1" s="1"/>
  <c r="AJ38" i="1"/>
  <c r="BJ38" i="1" s="1"/>
  <c r="CJ38" i="1" s="1"/>
  <c r="DJ38" i="1" s="1"/>
  <c r="EJ38" i="1" s="1"/>
  <c r="FJ38" i="1" s="1"/>
  <c r="AJ108" i="1"/>
  <c r="BJ108" i="1" s="1"/>
  <c r="CJ108" i="1" s="1"/>
  <c r="DJ108" i="1" s="1"/>
  <c r="EJ108" i="1" s="1"/>
  <c r="FJ108" i="1" s="1"/>
  <c r="AJ73" i="1"/>
  <c r="BJ73" i="1" s="1"/>
  <c r="CJ73" i="1" s="1"/>
  <c r="DJ73" i="1" s="1"/>
  <c r="EJ73" i="1" s="1"/>
  <c r="FJ73" i="1" s="1"/>
  <c r="AB108" i="1"/>
  <c r="BB108" i="1" s="1"/>
  <c r="CB108" i="1" s="1"/>
  <c r="DB108" i="1" s="1"/>
  <c r="EB108" i="1" s="1"/>
  <c r="FB108" i="1" s="1"/>
  <c r="AB38" i="1"/>
  <c r="BB38" i="1" s="1"/>
  <c r="CB38" i="1" s="1"/>
  <c r="DB38" i="1" s="1"/>
  <c r="EB38" i="1" s="1"/>
  <c r="FB38" i="1" s="1"/>
  <c r="AB73" i="1"/>
  <c r="BB73" i="1" s="1"/>
  <c r="CB73" i="1" s="1"/>
  <c r="DB73" i="1" s="1"/>
  <c r="EB73" i="1" s="1"/>
  <c r="FB73" i="1" s="1"/>
  <c r="AE38" i="1"/>
  <c r="BE38" i="1" s="1"/>
  <c r="CE38" i="1" s="1"/>
  <c r="DE38" i="1" s="1"/>
  <c r="EE38" i="1" s="1"/>
  <c r="FE38" i="1" s="1"/>
  <c r="AE73" i="1"/>
  <c r="BE73" i="1" s="1"/>
  <c r="CE73" i="1" s="1"/>
  <c r="DE73" i="1" s="1"/>
  <c r="EE73" i="1" s="1"/>
  <c r="FE73" i="1" s="1"/>
  <c r="AE108" i="1"/>
  <c r="BE108" i="1" s="1"/>
  <c r="CE108" i="1" s="1"/>
  <c r="DE108" i="1" s="1"/>
  <c r="EE108" i="1" s="1"/>
  <c r="FE108" i="1" s="1"/>
  <c r="X108" i="1"/>
  <c r="AX108" i="1" s="1"/>
  <c r="BX108" i="1" s="1"/>
  <c r="CX108" i="1" s="1"/>
  <c r="DX108" i="1" s="1"/>
  <c r="EX108" i="1" s="1"/>
  <c r="X73" i="1"/>
  <c r="AX73" i="1" s="1"/>
  <c r="BX73" i="1" s="1"/>
  <c r="CX73" i="1" s="1"/>
  <c r="DX73" i="1" s="1"/>
  <c r="EX73" i="1" s="1"/>
  <c r="X38" i="1"/>
  <c r="AX38" i="1" s="1"/>
  <c r="BX38" i="1" s="1"/>
  <c r="CX38" i="1" s="1"/>
  <c r="DX38" i="1" s="1"/>
  <c r="EX38" i="1" s="1"/>
  <c r="AH38" i="1"/>
  <c r="BH38" i="1" s="1"/>
  <c r="CH38" i="1" s="1"/>
  <c r="DH38" i="1" s="1"/>
  <c r="EH38" i="1" s="1"/>
  <c r="FH38" i="1" s="1"/>
  <c r="AH108" i="1"/>
  <c r="BH108" i="1" s="1"/>
  <c r="CH108" i="1" s="1"/>
  <c r="DH108" i="1" s="1"/>
  <c r="EH108" i="1" s="1"/>
  <c r="FH108" i="1" s="1"/>
  <c r="AH73" i="1"/>
  <c r="BH73" i="1" s="1"/>
  <c r="CH73" i="1" s="1"/>
  <c r="DH73" i="1" s="1"/>
  <c r="EH73" i="1" s="1"/>
  <c r="FH73" i="1" s="1"/>
  <c r="T73" i="1"/>
  <c r="AT73" i="1" s="1"/>
  <c r="BT73" i="1" s="1"/>
  <c r="CT73" i="1" s="1"/>
  <c r="DT73" i="1" s="1"/>
  <c r="ET73" i="1" s="1"/>
  <c r="T38" i="1"/>
  <c r="AT38" i="1" s="1"/>
  <c r="BT38" i="1" s="1"/>
  <c r="CT38" i="1" s="1"/>
  <c r="DT38" i="1" s="1"/>
  <c r="ET38" i="1" s="1"/>
  <c r="T108" i="1"/>
  <c r="AT108" i="1" s="1"/>
  <c r="BT108" i="1" s="1"/>
  <c r="CT108" i="1" s="1"/>
  <c r="DT108" i="1" s="1"/>
  <c r="ET108" i="1" s="1"/>
  <c r="AD38" i="1"/>
  <c r="BD38" i="1" s="1"/>
  <c r="CD38" i="1" s="1"/>
  <c r="DD38" i="1" s="1"/>
  <c r="ED38" i="1" s="1"/>
  <c r="FD38" i="1" s="1"/>
  <c r="AD108" i="1"/>
  <c r="BD108" i="1" s="1"/>
  <c r="CD108" i="1" s="1"/>
  <c r="DD108" i="1" s="1"/>
  <c r="ED108" i="1" s="1"/>
  <c r="FD108" i="1" s="1"/>
  <c r="AD73" i="1"/>
  <c r="BD73" i="1" s="1"/>
  <c r="CD73" i="1" s="1"/>
  <c r="DD73" i="1" s="1"/>
  <c r="ED73" i="1" s="1"/>
  <c r="FD73" i="1" s="1"/>
  <c r="P38" i="1"/>
  <c r="AP38" i="1" s="1"/>
  <c r="BP38" i="1" s="1"/>
  <c r="CP38" i="1" s="1"/>
  <c r="DP38" i="1" s="1"/>
  <c r="EP38" i="1" s="1"/>
  <c r="P73" i="1"/>
  <c r="AP73" i="1" s="1"/>
  <c r="BP73" i="1" s="1"/>
  <c r="CP73" i="1" s="1"/>
  <c r="DP73" i="1" s="1"/>
  <c r="EP73" i="1" s="1"/>
  <c r="P108" i="1"/>
  <c r="AP108" i="1" s="1"/>
  <c r="BP108" i="1" s="1"/>
  <c r="CP108" i="1" s="1"/>
  <c r="DP108" i="1" s="1"/>
  <c r="EP108" i="1" s="1"/>
  <c r="R38" i="1"/>
  <c r="AR38" i="1" s="1"/>
  <c r="BR38" i="1" s="1"/>
  <c r="CR38" i="1" s="1"/>
  <c r="DR38" i="1" s="1"/>
  <c r="ER38" i="1" s="1"/>
  <c r="R108" i="1"/>
  <c r="AR108" i="1" s="1"/>
  <c r="BR108" i="1" s="1"/>
  <c r="CR108" i="1" s="1"/>
  <c r="DR108" i="1" s="1"/>
  <c r="ER108" i="1" s="1"/>
  <c r="R73" i="1"/>
  <c r="AR73" i="1" s="1"/>
  <c r="BR73" i="1" s="1"/>
  <c r="CR73" i="1" s="1"/>
  <c r="DR73" i="1" s="1"/>
  <c r="ER73" i="1" s="1"/>
  <c r="N108" i="1"/>
  <c r="N38" i="1"/>
  <c r="N73" i="1"/>
  <c r="AK108" i="1"/>
  <c r="BK108" i="1" s="1"/>
  <c r="CK108" i="1" s="1"/>
  <c r="DK108" i="1" s="1"/>
  <c r="EK108" i="1" s="1"/>
  <c r="FK108" i="1" s="1"/>
  <c r="AK73" i="1"/>
  <c r="BK73" i="1" s="1"/>
  <c r="CK73" i="1" s="1"/>
  <c r="DK73" i="1" s="1"/>
  <c r="EK73" i="1" s="1"/>
  <c r="FK73" i="1" s="1"/>
  <c r="AK38" i="1"/>
  <c r="BK38" i="1" s="1"/>
  <c r="CK38" i="1" s="1"/>
  <c r="DK38" i="1" s="1"/>
  <c r="EK38" i="1" s="1"/>
  <c r="FK38" i="1" s="1"/>
  <c r="W108" i="1"/>
  <c r="AW108" i="1" s="1"/>
  <c r="BW108" i="1" s="1"/>
  <c r="CW108" i="1" s="1"/>
  <c r="DW108" i="1" s="1"/>
  <c r="EW108" i="1" s="1"/>
  <c r="W38" i="1"/>
  <c r="AW38" i="1" s="1"/>
  <c r="BW38" i="1" s="1"/>
  <c r="CW38" i="1" s="1"/>
  <c r="DW38" i="1" s="1"/>
  <c r="EW38" i="1" s="1"/>
  <c r="W73" i="1"/>
  <c r="AW73" i="1" s="1"/>
  <c r="BW73" i="1" s="1"/>
  <c r="CW73" i="1" s="1"/>
  <c r="DW73" i="1" s="1"/>
  <c r="EW73" i="1" s="1"/>
  <c r="AG38" i="1"/>
  <c r="BG38" i="1" s="1"/>
  <c r="CG38" i="1" s="1"/>
  <c r="DG38" i="1" s="1"/>
  <c r="EG38" i="1" s="1"/>
  <c r="FG38" i="1" s="1"/>
  <c r="AG108" i="1"/>
  <c r="BG108" i="1" s="1"/>
  <c r="CG108" i="1" s="1"/>
  <c r="DG108" i="1" s="1"/>
  <c r="EG108" i="1" s="1"/>
  <c r="FG108" i="1" s="1"/>
  <c r="AG73" i="1"/>
  <c r="BG73" i="1" s="1"/>
  <c r="CG73" i="1" s="1"/>
  <c r="DG73" i="1" s="1"/>
  <c r="EG73" i="1" s="1"/>
  <c r="FG73" i="1" s="1"/>
  <c r="Y108" i="1"/>
  <c r="AY108" i="1" s="1"/>
  <c r="BY108" i="1" s="1"/>
  <c r="CY108" i="1" s="1"/>
  <c r="DY108" i="1" s="1"/>
  <c r="EY108" i="1" s="1"/>
  <c r="Y73" i="1"/>
  <c r="AY73" i="1" s="1"/>
  <c r="BY73" i="1" s="1"/>
  <c r="CY73" i="1" s="1"/>
  <c r="DY73" i="1" s="1"/>
  <c r="EY73" i="1" s="1"/>
  <c r="Y38" i="1"/>
  <c r="AY38" i="1" s="1"/>
  <c r="BY38" i="1" s="1"/>
  <c r="CY38" i="1" s="1"/>
  <c r="DY38" i="1" s="1"/>
  <c r="EY38" i="1" s="1"/>
  <c r="CS52" i="1"/>
  <c r="CS53" i="1" s="1"/>
  <c r="CS51" i="1" s="1" a="1"/>
  <c r="CS51" i="1" s="1"/>
  <c r="CS54" i="1" s="1"/>
  <c r="CT45" i="1"/>
  <c r="AU52" i="1"/>
  <c r="BT52" i="1"/>
  <c r="DH52" i="1"/>
  <c r="DJ45" i="1"/>
  <c r="BU52" i="1"/>
  <c r="DB52" i="1"/>
  <c r="DI40" i="1"/>
  <c r="DI41" i="1" s="1"/>
  <c r="DI45" i="1" s="1"/>
  <c r="DF40" i="1"/>
  <c r="DF41" i="1" s="1"/>
  <c r="DF45" i="1" s="1"/>
  <c r="AT52" i="1"/>
  <c r="DG40" i="1"/>
  <c r="DG41" i="1" s="1"/>
  <c r="DG45" i="1" s="1"/>
  <c r="DD40" i="1"/>
  <c r="DD41" i="1" s="1"/>
  <c r="DD45" i="1" s="1"/>
  <c r="BK52" i="1"/>
  <c r="DA52" i="1"/>
  <c r="DC52" i="1"/>
  <c r="CX40" i="1"/>
  <c r="CX41" i="1" s="1"/>
  <c r="CX45" i="1" s="1"/>
  <c r="CZ52" i="1"/>
  <c r="CJ52" i="1"/>
  <c r="BJ45" i="1"/>
  <c r="CU52" i="1"/>
  <c r="BS45" i="1"/>
  <c r="BS50" i="1" s="1"/>
  <c r="CV40" i="1"/>
  <c r="CV41" i="1" s="1"/>
  <c r="CV45" i="1" s="1"/>
  <c r="AS45" i="1"/>
  <c r="AS50" i="1" s="1"/>
  <c r="DE52" i="1"/>
  <c r="CA79" i="1"/>
  <c r="CA114" i="1"/>
  <c r="DY87" i="1"/>
  <c r="DY75" i="1"/>
  <c r="DY76" i="1" s="1"/>
  <c r="DY80" i="1" s="1"/>
  <c r="DZ87" i="1"/>
  <c r="DZ75" i="1"/>
  <c r="DZ76" i="1" s="1"/>
  <c r="DZ80" i="1" s="1"/>
  <c r="CV122" i="1"/>
  <c r="CV110" i="1"/>
  <c r="CV111" i="1" s="1"/>
  <c r="CV115" i="1" s="1"/>
  <c r="BJ87" i="1"/>
  <c r="BJ80" i="1"/>
  <c r="EB75" i="1"/>
  <c r="EB76" i="1" s="1"/>
  <c r="EB80" i="1" s="1"/>
  <c r="EB87" i="1"/>
  <c r="CU87" i="1"/>
  <c r="CU80" i="1"/>
  <c r="AB110" i="1"/>
  <c r="AB111" i="1" s="1"/>
  <c r="AB115" i="1" s="1"/>
  <c r="AB122" i="1"/>
  <c r="DC122" i="1"/>
  <c r="DC110" i="1"/>
  <c r="DC111" i="1" s="1"/>
  <c r="DC115" i="1" s="1"/>
  <c r="AC122" i="1"/>
  <c r="AC110" i="1"/>
  <c r="AC111" i="1" s="1"/>
  <c r="AC115" i="1" s="1"/>
  <c r="DE122" i="1"/>
  <c r="DE110" i="1"/>
  <c r="DE111" i="1" s="1"/>
  <c r="DE115" i="1" s="1"/>
  <c r="AS87" i="1"/>
  <c r="AS88" i="1" s="1"/>
  <c r="AS86" i="1" s="1" a="1"/>
  <c r="AS86" i="1" s="1"/>
  <c r="AS89" i="1" s="1"/>
  <c r="AS80" i="1"/>
  <c r="ED122" i="1"/>
  <c r="ED110" i="1"/>
  <c r="ED111" i="1" s="1"/>
  <c r="ED115" i="1" s="1"/>
  <c r="DK122" i="1"/>
  <c r="DK115" i="1"/>
  <c r="AF110" i="1"/>
  <c r="AF111" i="1" s="1"/>
  <c r="AF115" i="1" s="1"/>
  <c r="AF122" i="1"/>
  <c r="BS87" i="1"/>
  <c r="BS88" i="1" s="1"/>
  <c r="BS86" i="1" s="1" a="1"/>
  <c r="BS86" i="1" s="1"/>
  <c r="BS89" i="1" s="1"/>
  <c r="BS80" i="1"/>
  <c r="BS85" i="1" s="1"/>
  <c r="CZ110" i="1"/>
  <c r="CZ111" i="1" s="1"/>
  <c r="CZ115" i="1" s="1"/>
  <c r="CZ122" i="1"/>
  <c r="AX79" i="1"/>
  <c r="AX114" i="1"/>
  <c r="CI44" i="1"/>
  <c r="CI52" i="1" s="1"/>
  <c r="CI114" i="1"/>
  <c r="CI79" i="1"/>
  <c r="DS44" i="1"/>
  <c r="DS52" i="1" s="1"/>
  <c r="DS79" i="1"/>
  <c r="DS114" i="1"/>
  <c r="BC114" i="1"/>
  <c r="BC79" i="1"/>
  <c r="AG87" i="1"/>
  <c r="AG75" i="1"/>
  <c r="AG76" i="1" s="1"/>
  <c r="AG80" i="1" s="1"/>
  <c r="DY122" i="1"/>
  <c r="DY110" i="1"/>
  <c r="DY111" i="1" s="1"/>
  <c r="DY115" i="1" s="1"/>
  <c r="DZ122" i="1"/>
  <c r="DZ110" i="1"/>
  <c r="DZ111" i="1" s="1"/>
  <c r="DZ115" i="1" s="1"/>
  <c r="BJ122" i="1"/>
  <c r="BJ115" i="1"/>
  <c r="DD75" i="1"/>
  <c r="DD76" i="1" s="1"/>
  <c r="DD80" i="1" s="1"/>
  <c r="DD87" i="1"/>
  <c r="CT122" i="1"/>
  <c r="CT115" i="1"/>
  <c r="V87" i="1"/>
  <c r="V75" i="1"/>
  <c r="V76" i="1" s="1"/>
  <c r="V80" i="1" s="1"/>
  <c r="DV122" i="1"/>
  <c r="DV110" i="1"/>
  <c r="DV111" i="1" s="1"/>
  <c r="DV115" i="1" s="1"/>
  <c r="ED87" i="1"/>
  <c r="ED75" i="1"/>
  <c r="ED76" i="1" s="1"/>
  <c r="ED80" i="1" s="1"/>
  <c r="DK87" i="1"/>
  <c r="DK80" i="1"/>
  <c r="AF75" i="1"/>
  <c r="AF76" i="1" s="1"/>
  <c r="AF80" i="1" s="1"/>
  <c r="AF87" i="1"/>
  <c r="DG87" i="1"/>
  <c r="DG75" i="1"/>
  <c r="DG76" i="1" s="1"/>
  <c r="DG80" i="1" s="1"/>
  <c r="CZ87" i="1"/>
  <c r="CZ75" i="1"/>
  <c r="CZ76" i="1" s="1"/>
  <c r="CZ80" i="1" s="1"/>
  <c r="AH122" i="1"/>
  <c r="AH110" i="1"/>
  <c r="AH111" i="1" s="1"/>
  <c r="AH115" i="1" s="1"/>
  <c r="CE114" i="1"/>
  <c r="CE79" i="1"/>
  <c r="BW87" i="1"/>
  <c r="BW75" i="1"/>
  <c r="BW76" i="1" s="1"/>
  <c r="BW80" i="1" s="1"/>
  <c r="BK87" i="1"/>
  <c r="BK80" i="1"/>
  <c r="U87" i="1"/>
  <c r="U80" i="1"/>
  <c r="V122" i="1"/>
  <c r="V110" i="1"/>
  <c r="V111" i="1" s="1"/>
  <c r="V115" i="1" s="1"/>
  <c r="DV87" i="1"/>
  <c r="DV75" i="1"/>
  <c r="DV76" i="1" s="1"/>
  <c r="DV80" i="1" s="1"/>
  <c r="W110" i="1"/>
  <c r="W111" i="1" s="1"/>
  <c r="W115" i="1" s="1"/>
  <c r="W122" i="1"/>
  <c r="CX87" i="1"/>
  <c r="CX75" i="1"/>
  <c r="CX76" i="1" s="1"/>
  <c r="CX80" i="1" s="1"/>
  <c r="DW75" i="1"/>
  <c r="DW76" i="1" s="1"/>
  <c r="DW80" i="1" s="1"/>
  <c r="DW87" i="1"/>
  <c r="Y122" i="1"/>
  <c r="Y110" i="1"/>
  <c r="Y111" i="1" s="1"/>
  <c r="Y115" i="1" s="1"/>
  <c r="AH87" i="1"/>
  <c r="AH75" i="1"/>
  <c r="AH76" i="1" s="1"/>
  <c r="AH80" i="1" s="1"/>
  <c r="CG79" i="1"/>
  <c r="CG114" i="1"/>
  <c r="CB79" i="1"/>
  <c r="CB114" i="1"/>
  <c r="AG122" i="1"/>
  <c r="AG110" i="1"/>
  <c r="AG111" i="1" s="1"/>
  <c r="AG115" i="1" s="1"/>
  <c r="EH87" i="1"/>
  <c r="EH75" i="1"/>
  <c r="EH76" i="1" s="1"/>
  <c r="EH80" i="1" s="1"/>
  <c r="DD122" i="1"/>
  <c r="DD110" i="1"/>
  <c r="DD111" i="1" s="1"/>
  <c r="DD115" i="1" s="1"/>
  <c r="CT87" i="1"/>
  <c r="CT80" i="1"/>
  <c r="DU122" i="1"/>
  <c r="DU115" i="1"/>
  <c r="DA122" i="1"/>
  <c r="DA110" i="1"/>
  <c r="DA111" i="1" s="1"/>
  <c r="DA115" i="1" s="1"/>
  <c r="DG122" i="1"/>
  <c r="DG110" i="1"/>
  <c r="DG111" i="1" s="1"/>
  <c r="DG115" i="1" s="1"/>
  <c r="BX114" i="1"/>
  <c r="BX79" i="1"/>
  <c r="BZ79" i="1"/>
  <c r="BZ114" i="1"/>
  <c r="BH44" i="1"/>
  <c r="BH40" i="1" s="1"/>
  <c r="BH41" i="1" s="1"/>
  <c r="BH45" i="1" s="1"/>
  <c r="BH114" i="1"/>
  <c r="BH79" i="1"/>
  <c r="BD114" i="1"/>
  <c r="BD79" i="1"/>
  <c r="CW52" i="1"/>
  <c r="CJ122" i="1"/>
  <c r="CJ115" i="1"/>
  <c r="BW110" i="1"/>
  <c r="BW111" i="1" s="1"/>
  <c r="BW115" i="1" s="1"/>
  <c r="BW122" i="1"/>
  <c r="EH122" i="1"/>
  <c r="EH110" i="1"/>
  <c r="EH111" i="1" s="1"/>
  <c r="EH115" i="1" s="1"/>
  <c r="BK115" i="1"/>
  <c r="BK122" i="1"/>
  <c r="T87" i="1"/>
  <c r="T80" i="1"/>
  <c r="U122" i="1"/>
  <c r="U115" i="1"/>
  <c r="EA110" i="1"/>
  <c r="EA111" i="1" s="1"/>
  <c r="EA115" i="1" s="1"/>
  <c r="EA122" i="1"/>
  <c r="DU87" i="1"/>
  <c r="DU80" i="1"/>
  <c r="AW87" i="1"/>
  <c r="AW75" i="1"/>
  <c r="AW76" i="1" s="1"/>
  <c r="AW80" i="1" s="1"/>
  <c r="DA75" i="1"/>
  <c r="DA76" i="1" s="1"/>
  <c r="DA80" i="1" s="1"/>
  <c r="DA87" i="1"/>
  <c r="W75" i="1"/>
  <c r="W76" i="1" s="1"/>
  <c r="W80" i="1" s="1"/>
  <c r="W87" i="1"/>
  <c r="CX110" i="1"/>
  <c r="CX111" i="1" s="1"/>
  <c r="CX115" i="1" s="1"/>
  <c r="CX122" i="1"/>
  <c r="BT122" i="1"/>
  <c r="BT115" i="1"/>
  <c r="DW122" i="1"/>
  <c r="DW110" i="1"/>
  <c r="DW111" i="1" s="1"/>
  <c r="DW115" i="1" s="1"/>
  <c r="Y87" i="1"/>
  <c r="Y75" i="1"/>
  <c r="Y76" i="1" s="1"/>
  <c r="Y80" i="1" s="1"/>
  <c r="DH122" i="1"/>
  <c r="DH110" i="1"/>
  <c r="DH111" i="1" s="1"/>
  <c r="DH115" i="1" s="1"/>
  <c r="EG87" i="1"/>
  <c r="EG75" i="1"/>
  <c r="EG76" i="1" s="1"/>
  <c r="EG80" i="1" s="1"/>
  <c r="AV114" i="1"/>
  <c r="AV79" i="1"/>
  <c r="BF44" i="1"/>
  <c r="BF52" i="1" s="1"/>
  <c r="BF79" i="1"/>
  <c r="BF114" i="1"/>
  <c r="DT79" i="1"/>
  <c r="DT114" i="1"/>
  <c r="CW40" i="1"/>
  <c r="CW41" i="1" s="1"/>
  <c r="CW45" i="1" s="1"/>
  <c r="DK52" i="1"/>
  <c r="CY40" i="1"/>
  <c r="CY41" i="1" s="1"/>
  <c r="CY45" i="1" s="1"/>
  <c r="CJ87" i="1"/>
  <c r="CJ80" i="1"/>
  <c r="AA75" i="1"/>
  <c r="AA76" i="1" s="1"/>
  <c r="AA80" i="1" s="1"/>
  <c r="AA87" i="1"/>
  <c r="DB122" i="1"/>
  <c r="DB110" i="1"/>
  <c r="DB111" i="1" s="1"/>
  <c r="DB115" i="1" s="1"/>
  <c r="T122" i="1"/>
  <c r="T115" i="1"/>
  <c r="CS115" i="1"/>
  <c r="CS122" i="1"/>
  <c r="CS123" i="1" s="1"/>
  <c r="CS121" i="1" s="1" a="1"/>
  <c r="CS121" i="1" s="1"/>
  <c r="CS124" i="1" s="1"/>
  <c r="AD87" i="1"/>
  <c r="AD75" i="1"/>
  <c r="AD76" i="1" s="1"/>
  <c r="AD80" i="1" s="1"/>
  <c r="BU87" i="1"/>
  <c r="BU80" i="1"/>
  <c r="EA87" i="1"/>
  <c r="EA75" i="1"/>
  <c r="EA76" i="1" s="1"/>
  <c r="EA80" i="1" s="1"/>
  <c r="CK80" i="1"/>
  <c r="CK87" i="1"/>
  <c r="AW122" i="1"/>
  <c r="AW110" i="1"/>
  <c r="AW111" i="1" s="1"/>
  <c r="AW115" i="1" s="1"/>
  <c r="AE110" i="1"/>
  <c r="AE111" i="1" s="1"/>
  <c r="AE115" i="1" s="1"/>
  <c r="AE122" i="1"/>
  <c r="BT87" i="1"/>
  <c r="BT80" i="1"/>
  <c r="EE75" i="1"/>
  <c r="EE76" i="1" s="1"/>
  <c r="EE80" i="1" s="1"/>
  <c r="EE87" i="1"/>
  <c r="DJ87" i="1"/>
  <c r="DJ80" i="1"/>
  <c r="DX87" i="1"/>
  <c r="DX75" i="1"/>
  <c r="DX76" i="1" s="1"/>
  <c r="DX80" i="1" s="1"/>
  <c r="DH87" i="1"/>
  <c r="DH75" i="1"/>
  <c r="DH76" i="1" s="1"/>
  <c r="DH80" i="1" s="1"/>
  <c r="EG110" i="1"/>
  <c r="EG111" i="1" s="1"/>
  <c r="EG115" i="1" s="1"/>
  <c r="EG122" i="1"/>
  <c r="BA79" i="1"/>
  <c r="BA114" i="1"/>
  <c r="AZ79" i="1"/>
  <c r="AZ114" i="1"/>
  <c r="CF114" i="1"/>
  <c r="CF79" i="1"/>
  <c r="CH44" i="1"/>
  <c r="CH40" i="1" s="1"/>
  <c r="CH41" i="1" s="1"/>
  <c r="CH45" i="1" s="1"/>
  <c r="CH79" i="1"/>
  <c r="CH114" i="1"/>
  <c r="EJ44" i="1"/>
  <c r="EJ45" i="1" s="1"/>
  <c r="EJ79" i="1"/>
  <c r="EJ114" i="1"/>
  <c r="BE114" i="1"/>
  <c r="BE79" i="1"/>
  <c r="AY79" i="1"/>
  <c r="AY114" i="1"/>
  <c r="DR44" i="1"/>
  <c r="DR52" i="1" s="1"/>
  <c r="DR114" i="1"/>
  <c r="DR79" i="1"/>
  <c r="CD114" i="1"/>
  <c r="CD79" i="1"/>
  <c r="AA122" i="1"/>
  <c r="AA110" i="1"/>
  <c r="AA111" i="1" s="1"/>
  <c r="AA115" i="1" s="1"/>
  <c r="DB87" i="1"/>
  <c r="DB75" i="1"/>
  <c r="DB76" i="1" s="1"/>
  <c r="DB80" i="1" s="1"/>
  <c r="AU87" i="1"/>
  <c r="AU80" i="1"/>
  <c r="AK87" i="1"/>
  <c r="AK89" i="1" s="1"/>
  <c r="AK80" i="1"/>
  <c r="CS87" i="1"/>
  <c r="CS88" i="1" s="1"/>
  <c r="CS86" i="1" s="1" a="1"/>
  <c r="CS86" i="1" s="1"/>
  <c r="CS89" i="1" s="1"/>
  <c r="CS80" i="1"/>
  <c r="AD122" i="1"/>
  <c r="AD110" i="1"/>
  <c r="AD111" i="1" s="1"/>
  <c r="AD115" i="1" s="1"/>
  <c r="BU122" i="1"/>
  <c r="BU115" i="1"/>
  <c r="EI110" i="1"/>
  <c r="EI111" i="1" s="1"/>
  <c r="EI115" i="1" s="1"/>
  <c r="EI122" i="1"/>
  <c r="CK122" i="1"/>
  <c r="CK115" i="1"/>
  <c r="AJ87" i="1"/>
  <c r="AJ80" i="1"/>
  <c r="EC122" i="1"/>
  <c r="EC110" i="1"/>
  <c r="EC111" i="1" s="1"/>
  <c r="EC115" i="1" s="1"/>
  <c r="AE87" i="1"/>
  <c r="AE75" i="1"/>
  <c r="AE76" i="1" s="1"/>
  <c r="AE80" i="1" s="1"/>
  <c r="DF87" i="1"/>
  <c r="DF75" i="1"/>
  <c r="DF76" i="1" s="1"/>
  <c r="DF80" i="1" s="1"/>
  <c r="EE122" i="1"/>
  <c r="EE110" i="1"/>
  <c r="EE111" i="1" s="1"/>
  <c r="EE115" i="1" s="1"/>
  <c r="DJ122" i="1"/>
  <c r="DJ115" i="1"/>
  <c r="DX122" i="1"/>
  <c r="DX110" i="1"/>
  <c r="DX111" i="1" s="1"/>
  <c r="DX115" i="1" s="1"/>
  <c r="DI122" i="1"/>
  <c r="DI110" i="1"/>
  <c r="DI111" i="1" s="1"/>
  <c r="DI115" i="1" s="1"/>
  <c r="CC114" i="1"/>
  <c r="CC79" i="1"/>
  <c r="Z122" i="1"/>
  <c r="Z110" i="1"/>
  <c r="Z111" i="1" s="1"/>
  <c r="Z115" i="1" s="1"/>
  <c r="AK122" i="1"/>
  <c r="AK124" i="1" s="1"/>
  <c r="AK115" i="1"/>
  <c r="CW87" i="1"/>
  <c r="CW75" i="1"/>
  <c r="CW76" i="1" s="1"/>
  <c r="CW80" i="1" s="1"/>
  <c r="EI87" i="1"/>
  <c r="EI75" i="1"/>
  <c r="EI76" i="1" s="1"/>
  <c r="EI80" i="1" s="1"/>
  <c r="AJ122" i="1"/>
  <c r="AJ115" i="1"/>
  <c r="S80" i="1"/>
  <c r="S87" i="1"/>
  <c r="DF110" i="1"/>
  <c r="DF111" i="1" s="1"/>
  <c r="DF115" i="1" s="1"/>
  <c r="DF122" i="1"/>
  <c r="X110" i="1"/>
  <c r="X111" i="1" s="1"/>
  <c r="X115" i="1" s="1"/>
  <c r="X122" i="1"/>
  <c r="CY87" i="1"/>
  <c r="CY75" i="1"/>
  <c r="CY76" i="1" s="1"/>
  <c r="CY80" i="1" s="1"/>
  <c r="EF87" i="1"/>
  <c r="EF75" i="1"/>
  <c r="EF76" i="1" s="1"/>
  <c r="EF80" i="1" s="1"/>
  <c r="AT87" i="1"/>
  <c r="AT80" i="1"/>
  <c r="DI75" i="1"/>
  <c r="DI76" i="1" s="1"/>
  <c r="DI80" i="1" s="1"/>
  <c r="DI87" i="1"/>
  <c r="BG44" i="1"/>
  <c r="BG52" i="1" s="1"/>
  <c r="BG79" i="1"/>
  <c r="BG114" i="1"/>
  <c r="BI44" i="1"/>
  <c r="BI52" i="1" s="1"/>
  <c r="BI79" i="1"/>
  <c r="BI114" i="1"/>
  <c r="AI75" i="1"/>
  <c r="AI76" i="1" s="1"/>
  <c r="AI80" i="1" s="1"/>
  <c r="AI87" i="1"/>
  <c r="AU115" i="1"/>
  <c r="AU122" i="1"/>
  <c r="EC87" i="1"/>
  <c r="EC75" i="1"/>
  <c r="EC76" i="1" s="1"/>
  <c r="EC80" i="1" s="1"/>
  <c r="BY79" i="1"/>
  <c r="BY114" i="1"/>
  <c r="EK44" i="1"/>
  <c r="EK52" i="1" s="1"/>
  <c r="EK114" i="1"/>
  <c r="EK79" i="1"/>
  <c r="BB114" i="1"/>
  <c r="BB79" i="1"/>
  <c r="BV114" i="1"/>
  <c r="BV79" i="1"/>
  <c r="Z87" i="1"/>
  <c r="Z75" i="1"/>
  <c r="Z76" i="1" s="1"/>
  <c r="Z80" i="1" s="1"/>
  <c r="AI122" i="1"/>
  <c r="AI110" i="1"/>
  <c r="AI111" i="1" s="1"/>
  <c r="AI115" i="1" s="1"/>
  <c r="CV87" i="1"/>
  <c r="CV75" i="1"/>
  <c r="CV76" i="1" s="1"/>
  <c r="CV80" i="1" s="1"/>
  <c r="EB122" i="1"/>
  <c r="EB110" i="1"/>
  <c r="EB111" i="1" s="1"/>
  <c r="EB115" i="1" s="1"/>
  <c r="CU122" i="1"/>
  <c r="CU115" i="1"/>
  <c r="CW110" i="1"/>
  <c r="CW111" i="1" s="1"/>
  <c r="CW115" i="1" s="1"/>
  <c r="CW122" i="1"/>
  <c r="AB87" i="1"/>
  <c r="AB75" i="1"/>
  <c r="AB76" i="1" s="1"/>
  <c r="AB80" i="1" s="1"/>
  <c r="DC87" i="1"/>
  <c r="DC75" i="1"/>
  <c r="DC76" i="1" s="1"/>
  <c r="DC80" i="1" s="1"/>
  <c r="AC87" i="1"/>
  <c r="AC75" i="1"/>
  <c r="AC76" i="1" s="1"/>
  <c r="AC80" i="1" s="1"/>
  <c r="DE87" i="1"/>
  <c r="DE75" i="1"/>
  <c r="DE76" i="1" s="1"/>
  <c r="DE80" i="1" s="1"/>
  <c r="AS122" i="1"/>
  <c r="AS123" i="1" s="1"/>
  <c r="AS121" i="1" s="1" a="1"/>
  <c r="AS121" i="1" s="1"/>
  <c r="AS124" i="1" s="1"/>
  <c r="AS115" i="1"/>
  <c r="AS120" i="1" s="1"/>
  <c r="S122" i="1"/>
  <c r="S115" i="1"/>
  <c r="X75" i="1"/>
  <c r="X76" i="1" s="1"/>
  <c r="X80" i="1" s="1"/>
  <c r="X87" i="1"/>
  <c r="CY122" i="1"/>
  <c r="CY110" i="1"/>
  <c r="CY111" i="1" s="1"/>
  <c r="CY115" i="1" s="1"/>
  <c r="BS122" i="1"/>
  <c r="BS123" i="1" s="1"/>
  <c r="BS121" i="1" s="1" a="1"/>
  <c r="BS121" i="1" s="1"/>
  <c r="BS124" i="1" s="1"/>
  <c r="BS115" i="1"/>
  <c r="BS120" i="1" s="1"/>
  <c r="EF122" i="1"/>
  <c r="EF110" i="1"/>
  <c r="EF111" i="1" s="1"/>
  <c r="EF115" i="1" s="1"/>
  <c r="AT122" i="1"/>
  <c r="AT115" i="1"/>
  <c r="EZ116" i="1"/>
  <c r="EZ81" i="1"/>
  <c r="EG52" i="1"/>
  <c r="EG40" i="1"/>
  <c r="EG41" i="1" s="1"/>
  <c r="EG45" i="1" s="1"/>
  <c r="BW52" i="1"/>
  <c r="BW40" i="1"/>
  <c r="BW41" i="1" s="1"/>
  <c r="BW45" i="1" s="1"/>
  <c r="EH52" i="1"/>
  <c r="EH40" i="1"/>
  <c r="EH41" i="1" s="1"/>
  <c r="EH45" i="1" s="1"/>
  <c r="AW52" i="1"/>
  <c r="AW40" i="1"/>
  <c r="AW41" i="1" s="1"/>
  <c r="AW45" i="1" s="1"/>
  <c r="DU45" i="1"/>
  <c r="DU52" i="1"/>
  <c r="DW52" i="1"/>
  <c r="DW40" i="1"/>
  <c r="DW41" i="1" s="1"/>
  <c r="DW45" i="1" s="1"/>
  <c r="BD44" i="1"/>
  <c r="DT44" i="1"/>
  <c r="BE44" i="1"/>
  <c r="AY44" i="1"/>
  <c r="CD44" i="1"/>
  <c r="CC44" i="1"/>
  <c r="AS53" i="1"/>
  <c r="EA52" i="1"/>
  <c r="EA40" i="1"/>
  <c r="EA41" i="1" s="1"/>
  <c r="EA45" i="1" s="1"/>
  <c r="BS53" i="1"/>
  <c r="BS51" i="1" s="1" a="1"/>
  <c r="BS51" i="1" s="1"/>
  <c r="BS54" i="1" s="1"/>
  <c r="BV44" i="1"/>
  <c r="EC40" i="1"/>
  <c r="EC41" i="1" s="1"/>
  <c r="EC45" i="1" s="1"/>
  <c r="EC52" i="1"/>
  <c r="DX52" i="1"/>
  <c r="DX40" i="1"/>
  <c r="DX41" i="1" s="1"/>
  <c r="DX45" i="1" s="1"/>
  <c r="EE52" i="1"/>
  <c r="EE40" i="1"/>
  <c r="EE41" i="1" s="1"/>
  <c r="EE45" i="1" s="1"/>
  <c r="EI52" i="1"/>
  <c r="EI40" i="1"/>
  <c r="EI41" i="1" s="1"/>
  <c r="EI45" i="1" s="1"/>
  <c r="BX44" i="1"/>
  <c r="CF44" i="1"/>
  <c r="CA44" i="1"/>
  <c r="BA44" i="1"/>
  <c r="BC44" i="1"/>
  <c r="DY52" i="1"/>
  <c r="DY40" i="1"/>
  <c r="DY41" i="1" s="1"/>
  <c r="DY45" i="1" s="1"/>
  <c r="DZ52" i="1"/>
  <c r="DZ40" i="1"/>
  <c r="DZ41" i="1" s="1"/>
  <c r="DZ45" i="1" s="1"/>
  <c r="CS50" i="1"/>
  <c r="ED40" i="1"/>
  <c r="ED41" i="1" s="1"/>
  <c r="ED45" i="1" s="1"/>
  <c r="ED52" i="1"/>
  <c r="EF40" i="1"/>
  <c r="EF41" i="1" s="1"/>
  <c r="EF45" i="1" s="1"/>
  <c r="EF52" i="1"/>
  <c r="BZ44" i="1"/>
  <c r="DV40" i="1"/>
  <c r="DV41" i="1" s="1"/>
  <c r="DV45" i="1" s="1"/>
  <c r="DV52" i="1"/>
  <c r="BY44" i="1"/>
  <c r="BB44" i="1"/>
  <c r="CG44" i="1"/>
  <c r="AV44" i="1"/>
  <c r="AX44" i="1"/>
  <c r="CE44" i="1"/>
  <c r="AZ44" i="1"/>
  <c r="CB44" i="1"/>
  <c r="EB52" i="1"/>
  <c r="EB40" i="1"/>
  <c r="EB41" i="1" s="1"/>
  <c r="EB45" i="1" s="1"/>
  <c r="EY46" i="1"/>
  <c r="EZ50" i="1" s="1"/>
  <c r="AD40" i="1"/>
  <c r="AD41" i="1" s="1"/>
  <c r="AD45" i="1" s="1"/>
  <c r="AD52" i="1"/>
  <c r="AH52" i="1"/>
  <c r="AH40" i="1"/>
  <c r="AH41" i="1" s="1"/>
  <c r="AH45" i="1" s="1"/>
  <c r="AI52" i="1"/>
  <c r="AI40" i="1"/>
  <c r="AI41" i="1" s="1"/>
  <c r="AI45" i="1" s="1"/>
  <c r="T52" i="1"/>
  <c r="AJ52" i="1"/>
  <c r="AF52" i="1"/>
  <c r="AF40" i="1"/>
  <c r="AF41" i="1" s="1"/>
  <c r="AF45" i="1" s="1"/>
  <c r="AG52" i="1"/>
  <c r="AG40" i="1"/>
  <c r="AG41" i="1" s="1"/>
  <c r="AG45" i="1" s="1"/>
  <c r="AE40" i="1"/>
  <c r="AE41" i="1" s="1"/>
  <c r="AE45" i="1" s="1"/>
  <c r="AE52" i="1"/>
  <c r="AK52" i="1"/>
  <c r="AK54" i="1" s="1"/>
  <c r="S52" i="1"/>
  <c r="S50" i="1"/>
  <c r="U52" i="1"/>
  <c r="AC40" i="1"/>
  <c r="AC41" i="1" s="1"/>
  <c r="AC45" i="1" s="1"/>
  <c r="AC52" i="1"/>
  <c r="AA40" i="1"/>
  <c r="AA41" i="1" s="1"/>
  <c r="AA45" i="1" s="1"/>
  <c r="AA52" i="1"/>
  <c r="V40" i="1"/>
  <c r="V41" i="1" s="1"/>
  <c r="V45" i="1" s="1"/>
  <c r="V52" i="1"/>
  <c r="AB52" i="1"/>
  <c r="AB40" i="1"/>
  <c r="AB41" i="1" s="1"/>
  <c r="AB45" i="1" s="1"/>
  <c r="X52" i="1"/>
  <c r="X40" i="1"/>
  <c r="X41" i="1" s="1"/>
  <c r="X45" i="1" s="1"/>
  <c r="Z52" i="1"/>
  <c r="Z40" i="1"/>
  <c r="Z41" i="1" s="1"/>
  <c r="Z45" i="1" s="1"/>
  <c r="Y52" i="1"/>
  <c r="Y40" i="1"/>
  <c r="Y41" i="1" s="1"/>
  <c r="Y45" i="1" s="1"/>
  <c r="W40" i="1"/>
  <c r="W41" i="1" s="1"/>
  <c r="W45" i="1" s="1"/>
  <c r="W52" i="1"/>
  <c r="J36" i="2"/>
  <c r="J38" i="2" s="1"/>
  <c r="EK14" i="1"/>
  <c r="BK14" i="1"/>
  <c r="CK14" i="1"/>
  <c r="J40" i="1" l="1"/>
  <c r="AN38" i="1"/>
  <c r="AN73" i="1"/>
  <c r="J75" i="1"/>
  <c r="AN108" i="1"/>
  <c r="J110" i="1"/>
  <c r="EY47" i="1"/>
  <c r="EZ53" i="1"/>
  <c r="EZ51" i="1" s="1" a="1"/>
  <c r="EZ51" i="1" s="1"/>
  <c r="EZ54" i="1" s="1"/>
  <c r="EK45" i="1"/>
  <c r="BH52" i="1"/>
  <c r="DR45" i="1"/>
  <c r="DR50" i="1" s="1"/>
  <c r="AS46" i="1"/>
  <c r="AT50" i="1" s="1"/>
  <c r="DS45" i="1"/>
  <c r="BI40" i="1"/>
  <c r="BI41" i="1" s="1"/>
  <c r="BI45" i="1" s="1"/>
  <c r="AS51" i="1" a="1"/>
  <c r="AS51" i="1" s="1"/>
  <c r="AS54" i="1" s="1"/>
  <c r="CH52" i="1"/>
  <c r="CI40" i="1"/>
  <c r="CI41" i="1" s="1"/>
  <c r="CI45" i="1" s="1"/>
  <c r="CS46" i="1"/>
  <c r="CS47" i="1" s="1"/>
  <c r="BF40" i="1"/>
  <c r="BF41" i="1" s="1"/>
  <c r="BF45" i="1" s="1"/>
  <c r="BG40" i="1"/>
  <c r="BG41" i="1" s="1"/>
  <c r="BG45" i="1" s="1"/>
  <c r="BS81" i="1"/>
  <c r="BS82" i="1" s="1"/>
  <c r="EJ52" i="1"/>
  <c r="BS116" i="1"/>
  <c r="BS117" i="1" s="1"/>
  <c r="BS46" i="1"/>
  <c r="BT50" i="1" s="1"/>
  <c r="BX122" i="1"/>
  <c r="BX110" i="1"/>
  <c r="BX111" i="1" s="1"/>
  <c r="BX115" i="1" s="1"/>
  <c r="AS116" i="1"/>
  <c r="AS117" i="1" s="1"/>
  <c r="BY122" i="1"/>
  <c r="BY110" i="1"/>
  <c r="BY111" i="1" s="1"/>
  <c r="BY115" i="1" s="1"/>
  <c r="S88" i="1"/>
  <c r="S86" i="1" s="1" a="1"/>
  <c r="S86" i="1" s="1"/>
  <c r="S89" i="1" s="1"/>
  <c r="CD87" i="1"/>
  <c r="CD75" i="1"/>
  <c r="CD76" i="1" s="1"/>
  <c r="CD80" i="1" s="1"/>
  <c r="BE122" i="1"/>
  <c r="BE110" i="1"/>
  <c r="BE111" i="1" s="1"/>
  <c r="BE115" i="1" s="1"/>
  <c r="CF122" i="1"/>
  <c r="CF110" i="1"/>
  <c r="CF111" i="1" s="1"/>
  <c r="CF115" i="1" s="1"/>
  <c r="DT87" i="1"/>
  <c r="DT80" i="1"/>
  <c r="BX87" i="1"/>
  <c r="BX75" i="1"/>
  <c r="BX76" i="1" s="1"/>
  <c r="BX80" i="1" s="1"/>
  <c r="BY87" i="1"/>
  <c r="BY75" i="1"/>
  <c r="BY76" i="1" s="1"/>
  <c r="BY80" i="1" s="1"/>
  <c r="S85" i="1"/>
  <c r="EJ122" i="1"/>
  <c r="EJ115" i="1"/>
  <c r="BV110" i="1"/>
  <c r="BV111" i="1" s="1"/>
  <c r="BV115" i="1" s="1"/>
  <c r="BV122" i="1"/>
  <c r="BI87" i="1"/>
  <c r="BI75" i="1"/>
  <c r="BI76" i="1" s="1"/>
  <c r="BI80" i="1" s="1"/>
  <c r="DR87" i="1"/>
  <c r="DR88" i="1" s="1"/>
  <c r="DR86" i="1" s="1" a="1"/>
  <c r="DR86" i="1" s="1"/>
  <c r="DR89" i="1" s="1"/>
  <c r="DR80" i="1"/>
  <c r="EJ80" i="1"/>
  <c r="EJ87" i="1"/>
  <c r="AZ87" i="1"/>
  <c r="AZ75" i="1"/>
  <c r="AZ76" i="1" s="1"/>
  <c r="AZ80" i="1" s="1"/>
  <c r="CS120" i="1"/>
  <c r="CS116" i="1" s="1"/>
  <c r="BF87" i="1"/>
  <c r="BF75" i="1"/>
  <c r="BF76" i="1" s="1"/>
  <c r="BF80" i="1" s="1"/>
  <c r="BD110" i="1"/>
  <c r="BD111" i="1" s="1"/>
  <c r="BD115" i="1" s="1"/>
  <c r="BD122" i="1"/>
  <c r="CB87" i="1"/>
  <c r="CB75" i="1"/>
  <c r="CB76" i="1" s="1"/>
  <c r="CB80" i="1" s="1"/>
  <c r="CI122" i="1"/>
  <c r="CI110" i="1"/>
  <c r="CI111" i="1" s="1"/>
  <c r="CI115" i="1" s="1"/>
  <c r="AS85" i="1"/>
  <c r="AS81" i="1" s="1"/>
  <c r="AS82" i="1" s="1"/>
  <c r="CB122" i="1"/>
  <c r="CB110" i="1"/>
  <c r="CB111" i="1" s="1"/>
  <c r="CB115" i="1" s="1"/>
  <c r="BB75" i="1"/>
  <c r="BB76" i="1" s="1"/>
  <c r="BB80" i="1" s="1"/>
  <c r="BB87" i="1"/>
  <c r="DR122" i="1"/>
  <c r="DR123" i="1" s="1"/>
  <c r="DR121" i="1" s="1" a="1"/>
  <c r="DR121" i="1" s="1"/>
  <c r="DR124" i="1" s="1"/>
  <c r="DR115" i="1"/>
  <c r="DR120" i="1" s="1"/>
  <c r="BA122" i="1"/>
  <c r="BA110" i="1"/>
  <c r="BA111" i="1" s="1"/>
  <c r="BA115" i="1" s="1"/>
  <c r="BH87" i="1"/>
  <c r="BH75" i="1"/>
  <c r="BH76" i="1" s="1"/>
  <c r="BH80" i="1" s="1"/>
  <c r="CG110" i="1"/>
  <c r="CG111" i="1" s="1"/>
  <c r="CG115" i="1" s="1"/>
  <c r="CG122" i="1"/>
  <c r="DY93" i="1"/>
  <c r="U67" i="2" s="1"/>
  <c r="BG110" i="1"/>
  <c r="BG111" i="1" s="1"/>
  <c r="BG115" i="1" s="1"/>
  <c r="BG122" i="1"/>
  <c r="CH110" i="1"/>
  <c r="CH111" i="1" s="1"/>
  <c r="CH115" i="1" s="1"/>
  <c r="CH122" i="1"/>
  <c r="BA87" i="1"/>
  <c r="BA75" i="1"/>
  <c r="BA76" i="1" s="1"/>
  <c r="BA80" i="1" s="1"/>
  <c r="AV87" i="1"/>
  <c r="AV75" i="1"/>
  <c r="AV76" i="1" s="1"/>
  <c r="AV80" i="1" s="1"/>
  <c r="BH122" i="1"/>
  <c r="BH110" i="1"/>
  <c r="BH111" i="1" s="1"/>
  <c r="BH115" i="1" s="1"/>
  <c r="CG87" i="1"/>
  <c r="CG75" i="1"/>
  <c r="CG76" i="1" s="1"/>
  <c r="CG80" i="1" s="1"/>
  <c r="BC87" i="1"/>
  <c r="BC75" i="1"/>
  <c r="BC76" i="1" s="1"/>
  <c r="BC80" i="1" s="1"/>
  <c r="AX110" i="1"/>
  <c r="AX111" i="1" s="1"/>
  <c r="AX115" i="1" s="1"/>
  <c r="AX122" i="1"/>
  <c r="AZ122" i="1"/>
  <c r="AZ110" i="1"/>
  <c r="AZ111" i="1" s="1"/>
  <c r="AZ115" i="1" s="1"/>
  <c r="BB122" i="1"/>
  <c r="BB110" i="1"/>
  <c r="BB111" i="1" s="1"/>
  <c r="BB115" i="1" s="1"/>
  <c r="EK87" i="1"/>
  <c r="EK80" i="1"/>
  <c r="BG75" i="1"/>
  <c r="BG76" i="1" s="1"/>
  <c r="BG80" i="1" s="1"/>
  <c r="BG87" i="1"/>
  <c r="CC75" i="1"/>
  <c r="CC76" i="1" s="1"/>
  <c r="CC80" i="1" s="1"/>
  <c r="CC87" i="1"/>
  <c r="CS85" i="1"/>
  <c r="CS81" i="1" s="1"/>
  <c r="CS82" i="1" s="1"/>
  <c r="AY110" i="1"/>
  <c r="AY111" i="1" s="1"/>
  <c r="AY115" i="1" s="1"/>
  <c r="AY122" i="1"/>
  <c r="CH75" i="1"/>
  <c r="CH76" i="1" s="1"/>
  <c r="CH80" i="1" s="1"/>
  <c r="CH87" i="1"/>
  <c r="AV110" i="1"/>
  <c r="AV111" i="1" s="1"/>
  <c r="AV115" i="1" s="1"/>
  <c r="AV122" i="1"/>
  <c r="CE87" i="1"/>
  <c r="CE75" i="1"/>
  <c r="CE76" i="1" s="1"/>
  <c r="CE80" i="1" s="1"/>
  <c r="BC110" i="1"/>
  <c r="BC111" i="1" s="1"/>
  <c r="BC115" i="1" s="1"/>
  <c r="BC122" i="1"/>
  <c r="AX87" i="1"/>
  <c r="AX75" i="1"/>
  <c r="AX76" i="1" s="1"/>
  <c r="AX80" i="1" s="1"/>
  <c r="CA122" i="1"/>
  <c r="CA110" i="1"/>
  <c r="CA111" i="1" s="1"/>
  <c r="CA115" i="1" s="1"/>
  <c r="BV87" i="1"/>
  <c r="BV75" i="1"/>
  <c r="BV76" i="1" s="1"/>
  <c r="BV80" i="1" s="1"/>
  <c r="BI122" i="1"/>
  <c r="BI110" i="1"/>
  <c r="BI111" i="1" s="1"/>
  <c r="BI115" i="1" s="1"/>
  <c r="BD87" i="1"/>
  <c r="BD75" i="1"/>
  <c r="BD76" i="1" s="1"/>
  <c r="BD80" i="1" s="1"/>
  <c r="CI87" i="1"/>
  <c r="CI75" i="1"/>
  <c r="CI76" i="1" s="1"/>
  <c r="CI80" i="1" s="1"/>
  <c r="S120" i="1"/>
  <c r="EK122" i="1"/>
  <c r="EK115" i="1"/>
  <c r="CC122" i="1"/>
  <c r="CC110" i="1"/>
  <c r="CC111" i="1" s="1"/>
  <c r="CC115" i="1" s="1"/>
  <c r="AY75" i="1"/>
  <c r="AY76" i="1" s="1"/>
  <c r="AY80" i="1" s="1"/>
  <c r="AY87" i="1"/>
  <c r="BZ110" i="1"/>
  <c r="BZ111" i="1" s="1"/>
  <c r="BZ115" i="1" s="1"/>
  <c r="BZ122" i="1"/>
  <c r="CE110" i="1"/>
  <c r="CE111" i="1" s="1"/>
  <c r="CE115" i="1" s="1"/>
  <c r="CE122" i="1"/>
  <c r="DS122" i="1"/>
  <c r="DS115" i="1"/>
  <c r="CA87" i="1"/>
  <c r="CA75" i="1"/>
  <c r="CA76" i="1" s="1"/>
  <c r="CA80" i="1" s="1"/>
  <c r="CD110" i="1"/>
  <c r="CD111" i="1" s="1"/>
  <c r="CD115" i="1" s="1"/>
  <c r="CD122" i="1"/>
  <c r="BF110" i="1"/>
  <c r="BF111" i="1" s="1"/>
  <c r="BF115" i="1" s="1"/>
  <c r="BF122" i="1"/>
  <c r="S123" i="1"/>
  <c r="BE87" i="1"/>
  <c r="BE75" i="1"/>
  <c r="BE76" i="1" s="1"/>
  <c r="BE80" i="1" s="1"/>
  <c r="CF87" i="1"/>
  <c r="CF75" i="1"/>
  <c r="CF76" i="1" s="1"/>
  <c r="CF80" i="1" s="1"/>
  <c r="DT122" i="1"/>
  <c r="DT115" i="1"/>
  <c r="BZ75" i="1"/>
  <c r="BZ76" i="1" s="1"/>
  <c r="BZ80" i="1" s="1"/>
  <c r="BZ87" i="1"/>
  <c r="DS87" i="1"/>
  <c r="DS80" i="1"/>
  <c r="EZ117" i="1"/>
  <c r="FA123" i="1"/>
  <c r="FA121" i="1" s="1" a="1"/>
  <c r="FA121" i="1" s="1"/>
  <c r="FA124" i="1" s="1"/>
  <c r="FA120" i="1"/>
  <c r="FA116" i="1" s="1"/>
  <c r="EZ82" i="1"/>
  <c r="FA88" i="1"/>
  <c r="FA86" i="1" s="1" a="1"/>
  <c r="FA86" i="1" s="1"/>
  <c r="FA89" i="1" s="1"/>
  <c r="FA85" i="1"/>
  <c r="FA81" i="1" s="1"/>
  <c r="AZ52" i="1"/>
  <c r="AZ40" i="1"/>
  <c r="AZ41" i="1" s="1"/>
  <c r="AZ45" i="1" s="1"/>
  <c r="BC52" i="1"/>
  <c r="BC40" i="1"/>
  <c r="BC41" i="1" s="1"/>
  <c r="BC45" i="1" s="1"/>
  <c r="CD40" i="1"/>
  <c r="CD41" i="1" s="1"/>
  <c r="CD45" i="1" s="1"/>
  <c r="CD52" i="1"/>
  <c r="CE52" i="1"/>
  <c r="CE40" i="1"/>
  <c r="CE41" i="1" s="1"/>
  <c r="CE45" i="1" s="1"/>
  <c r="CG52" i="1"/>
  <c r="CG40" i="1"/>
  <c r="CG41" i="1" s="1"/>
  <c r="CG45" i="1" s="1"/>
  <c r="CF52" i="1"/>
  <c r="CF40" i="1"/>
  <c r="CF41" i="1" s="1"/>
  <c r="CF45" i="1" s="1"/>
  <c r="BD52" i="1"/>
  <c r="BD40" i="1"/>
  <c r="BD41" i="1" s="1"/>
  <c r="BD45" i="1" s="1"/>
  <c r="CB52" i="1"/>
  <c r="CB40" i="1"/>
  <c r="CB41" i="1" s="1"/>
  <c r="CB45" i="1" s="1"/>
  <c r="BV52" i="1"/>
  <c r="BV40" i="1"/>
  <c r="BV41" i="1" s="1"/>
  <c r="BV45" i="1" s="1"/>
  <c r="CC40" i="1"/>
  <c r="CC41" i="1" s="1"/>
  <c r="CC45" i="1" s="1"/>
  <c r="CC52" i="1"/>
  <c r="DR53" i="1"/>
  <c r="DR51" i="1" s="1" a="1"/>
  <c r="DR51" i="1" s="1"/>
  <c r="DR54" i="1" s="1"/>
  <c r="BB52" i="1"/>
  <c r="BB40" i="1"/>
  <c r="BB41" i="1" s="1"/>
  <c r="BB45" i="1" s="1"/>
  <c r="BA52" i="1"/>
  <c r="BA40" i="1"/>
  <c r="BA41" i="1" s="1"/>
  <c r="BA45" i="1" s="1"/>
  <c r="BX52" i="1"/>
  <c r="BX40" i="1"/>
  <c r="BX41" i="1" s="1"/>
  <c r="BX45" i="1" s="1"/>
  <c r="AY52" i="1"/>
  <c r="AY40" i="1"/>
  <c r="AY41" i="1" s="1"/>
  <c r="AY45" i="1" s="1"/>
  <c r="AV52" i="1"/>
  <c r="AV40" i="1"/>
  <c r="AV41" i="1" s="1"/>
  <c r="AV45" i="1" s="1"/>
  <c r="DT45" i="1"/>
  <c r="DT52" i="1"/>
  <c r="BZ52" i="1"/>
  <c r="BZ40" i="1"/>
  <c r="BZ41" i="1" s="1"/>
  <c r="BZ45" i="1" s="1"/>
  <c r="AX52" i="1"/>
  <c r="AX40" i="1"/>
  <c r="AX41" i="1" s="1"/>
  <c r="AX45" i="1" s="1"/>
  <c r="BY52" i="1"/>
  <c r="BY40" i="1"/>
  <c r="BY41" i="1" s="1"/>
  <c r="BY45" i="1" s="1"/>
  <c r="CA40" i="1"/>
  <c r="CA41" i="1" s="1"/>
  <c r="CA45" i="1" s="1"/>
  <c r="CA52" i="1"/>
  <c r="BE52" i="1"/>
  <c r="BE40" i="1"/>
  <c r="BE41" i="1" s="1"/>
  <c r="BE45" i="1" s="1"/>
  <c r="EZ46" i="1"/>
  <c r="FA53" i="1" s="1"/>
  <c r="FA51" i="1" s="1" a="1"/>
  <c r="FA51" i="1" s="1"/>
  <c r="FA54" i="1" s="1"/>
  <c r="S53" i="1"/>
  <c r="S46" i="1" s="1"/>
  <c r="CY93" i="1"/>
  <c r="T67" i="2" s="1"/>
  <c r="J98" i="1"/>
  <c r="AT53" i="1" l="1"/>
  <c r="AT46" i="1" s="1"/>
  <c r="BN108" i="1"/>
  <c r="AT92" i="1"/>
  <c r="AT22" i="1"/>
  <c r="BN38" i="1"/>
  <c r="BN73" i="1"/>
  <c r="AT57" i="1"/>
  <c r="FA50" i="1"/>
  <c r="FA46" i="1"/>
  <c r="FA47" i="1" s="1"/>
  <c r="EZ47" i="1"/>
  <c r="CT53" i="1"/>
  <c r="CT51" i="1" s="1" a="1"/>
  <c r="CT51" i="1" s="1"/>
  <c r="CT54" i="1" s="1"/>
  <c r="S116" i="1"/>
  <c r="T120" i="1" s="1"/>
  <c r="AS47" i="1"/>
  <c r="BS47" i="1"/>
  <c r="BT85" i="1"/>
  <c r="CT50" i="1"/>
  <c r="BT53" i="1"/>
  <c r="BT51" i="1" s="1" a="1"/>
  <c r="BT51" i="1" s="1"/>
  <c r="BT54" i="1" s="1"/>
  <c r="S121" i="1" a="1"/>
  <c r="S121" i="1" s="1"/>
  <c r="S124" i="1" s="1"/>
  <c r="S81" i="1"/>
  <c r="S82" i="1" s="1"/>
  <c r="AT88" i="1"/>
  <c r="AT86" i="1" s="1" a="1"/>
  <c r="AT86" i="1" s="1"/>
  <c r="AT89" i="1" s="1"/>
  <c r="BT88" i="1"/>
  <c r="BT86" i="1" s="1" a="1"/>
  <c r="BT86" i="1" s="1"/>
  <c r="BT89" i="1" s="1"/>
  <c r="AT123" i="1"/>
  <c r="AT121" i="1" s="1" a="1"/>
  <c r="AT121" i="1" s="1"/>
  <c r="AT124" i="1" s="1"/>
  <c r="AT120" i="1"/>
  <c r="CS117" i="1"/>
  <c r="CT123" i="1"/>
  <c r="CT121" i="1" s="1" a="1"/>
  <c r="CT121" i="1" s="1"/>
  <c r="CT124" i="1" s="1"/>
  <c r="BT120" i="1"/>
  <c r="BT123" i="1"/>
  <c r="BT121" i="1" s="1" a="1"/>
  <c r="BT121" i="1" s="1"/>
  <c r="BT124" i="1" s="1"/>
  <c r="CT85" i="1"/>
  <c r="DR85" i="1"/>
  <c r="DR81" i="1" s="1"/>
  <c r="DR82" i="1" s="1"/>
  <c r="CT88" i="1"/>
  <c r="CT86" i="1" s="1" a="1"/>
  <c r="CT86" i="1" s="1"/>
  <c r="CT89" i="1" s="1"/>
  <c r="CT120" i="1"/>
  <c r="DR116" i="1"/>
  <c r="DR117" i="1" s="1"/>
  <c r="AT85" i="1"/>
  <c r="FA117" i="1"/>
  <c r="FB123" i="1"/>
  <c r="FB121" i="1" s="1" a="1"/>
  <c r="FB121" i="1" s="1"/>
  <c r="FB124" i="1" s="1"/>
  <c r="FB120" i="1"/>
  <c r="FA82" i="1"/>
  <c r="FB85" i="1"/>
  <c r="FB88" i="1"/>
  <c r="FB86" i="1" s="1" a="1"/>
  <c r="FB86" i="1" s="1"/>
  <c r="FB89" i="1" s="1"/>
  <c r="DR46" i="1"/>
  <c r="DS50" i="1" s="1"/>
  <c r="AT51" i="1" a="1"/>
  <c r="AT51" i="1" s="1"/>
  <c r="AT54" i="1" s="1"/>
  <c r="FB53" i="1"/>
  <c r="FB51" i="1" s="1" a="1"/>
  <c r="FB51" i="1" s="1"/>
  <c r="FB54" i="1" s="1"/>
  <c r="FB50" i="1"/>
  <c r="S51" i="1" a="1"/>
  <c r="S51" i="1" s="1"/>
  <c r="S54" i="1" s="1"/>
  <c r="AY93" i="1"/>
  <c r="R67" i="2" s="1"/>
  <c r="BY93" i="1"/>
  <c r="S67" i="2" s="1"/>
  <c r="EY22" i="1"/>
  <c r="AY58" i="1"/>
  <c r="R38" i="2" s="1"/>
  <c r="CN73" i="1" l="1"/>
  <c r="BT57" i="1"/>
  <c r="BT22" i="1"/>
  <c r="BT23" i="1" s="1"/>
  <c r="CN38" i="1"/>
  <c r="CN108" i="1"/>
  <c r="BT92" i="1"/>
  <c r="CT46" i="1"/>
  <c r="CU50" i="1" s="1"/>
  <c r="S117" i="1"/>
  <c r="T123" i="1"/>
  <c r="T116" i="1" s="1"/>
  <c r="AT81" i="1"/>
  <c r="AU88" i="1" s="1"/>
  <c r="AU86" i="1" s="1" a="1"/>
  <c r="AU86" i="1" s="1"/>
  <c r="AU89" i="1" s="1"/>
  <c r="CT116" i="1"/>
  <c r="CT117" i="1" s="1"/>
  <c r="BT81" i="1"/>
  <c r="BT82" i="1" s="1"/>
  <c r="T85" i="1"/>
  <c r="AT116" i="1"/>
  <c r="AU120" i="1" s="1"/>
  <c r="BT46" i="1"/>
  <c r="BU53" i="1" s="1"/>
  <c r="BU51" i="1" s="1" a="1"/>
  <c r="BU51" i="1" s="1"/>
  <c r="BU54" i="1" s="1"/>
  <c r="T88" i="1"/>
  <c r="T86" i="1" s="1" a="1"/>
  <c r="T86" i="1" s="1"/>
  <c r="T89" i="1" s="1"/>
  <c r="DR47" i="1"/>
  <c r="CT81" i="1"/>
  <c r="CT82" i="1" s="1"/>
  <c r="DS85" i="1"/>
  <c r="BT116" i="1"/>
  <c r="BT117" i="1" s="1"/>
  <c r="DS88" i="1"/>
  <c r="DS86" i="1" s="1" a="1"/>
  <c r="DS86" i="1" s="1"/>
  <c r="DS89" i="1" s="1"/>
  <c r="DS120" i="1"/>
  <c r="DS123" i="1"/>
  <c r="DS121" i="1" s="1" a="1"/>
  <c r="DS121" i="1" s="1"/>
  <c r="DS124" i="1" s="1"/>
  <c r="FB116" i="1"/>
  <c r="FB81" i="1"/>
  <c r="DS53" i="1"/>
  <c r="DS51" i="1" s="1" a="1"/>
  <c r="DS51" i="1" s="1"/>
  <c r="DS54" i="1" s="1"/>
  <c r="AT47" i="1"/>
  <c r="AU53" i="1"/>
  <c r="AU50" i="1"/>
  <c r="FB46" i="1"/>
  <c r="FC53" i="1" s="1"/>
  <c r="FC51" i="1" s="1" a="1"/>
  <c r="FC51" i="1" s="1"/>
  <c r="FC54" i="1" s="1"/>
  <c r="S47" i="1"/>
  <c r="T50" i="1"/>
  <c r="T53" i="1"/>
  <c r="CT22" i="1" l="1"/>
  <c r="DN38" i="1"/>
  <c r="DN108" i="1"/>
  <c r="CT92" i="1"/>
  <c r="DN73" i="1"/>
  <c r="CT57" i="1"/>
  <c r="CU53" i="1"/>
  <c r="CU46" i="1" s="1"/>
  <c r="CT47" i="1"/>
  <c r="T46" i="1"/>
  <c r="T121" i="1" a="1"/>
  <c r="T121" i="1" s="1"/>
  <c r="T124" i="1" s="1"/>
  <c r="AT82" i="1"/>
  <c r="AU85" i="1"/>
  <c r="AU81" i="1" s="1"/>
  <c r="AU123" i="1"/>
  <c r="AU121" i="1" s="1" a="1"/>
  <c r="AU121" i="1" s="1"/>
  <c r="AU124" i="1" s="1"/>
  <c r="BU85" i="1"/>
  <c r="T81" i="1"/>
  <c r="T82" i="1" s="1"/>
  <c r="CU123" i="1"/>
  <c r="CU121" i="1" s="1" a="1"/>
  <c r="CU121" i="1" s="1"/>
  <c r="CU124" i="1" s="1"/>
  <c r="CU120" i="1"/>
  <c r="BU88" i="1"/>
  <c r="BU86" i="1" s="1" a="1"/>
  <c r="BU86" i="1" s="1"/>
  <c r="BU89" i="1" s="1"/>
  <c r="CU88" i="1"/>
  <c r="CU86" i="1" s="1" a="1"/>
  <c r="CU86" i="1" s="1"/>
  <c r="CU89" i="1" s="1"/>
  <c r="CU85" i="1"/>
  <c r="BT47" i="1"/>
  <c r="BU50" i="1"/>
  <c r="BU46" i="1" s="1"/>
  <c r="BU47" i="1" s="1"/>
  <c r="AT117" i="1"/>
  <c r="BU123" i="1"/>
  <c r="BU121" i="1" s="1" a="1"/>
  <c r="BU121" i="1" s="1"/>
  <c r="BU124" i="1" s="1"/>
  <c r="DS46" i="1"/>
  <c r="DS47" i="1" s="1"/>
  <c r="DS81" i="1"/>
  <c r="DT85" i="1" s="1"/>
  <c r="DS116" i="1"/>
  <c r="DS117" i="1" s="1"/>
  <c r="BU120" i="1"/>
  <c r="T117" i="1"/>
  <c r="U120" i="1"/>
  <c r="U123" i="1"/>
  <c r="FB117" i="1"/>
  <c r="FC123" i="1"/>
  <c r="FC121" i="1" s="1" a="1"/>
  <c r="FC121" i="1" s="1"/>
  <c r="FC124" i="1" s="1"/>
  <c r="FC120" i="1"/>
  <c r="FC116" i="1" s="1"/>
  <c r="FB82" i="1"/>
  <c r="FC88" i="1"/>
  <c r="FC86" i="1" s="1" a="1"/>
  <c r="FC86" i="1" s="1"/>
  <c r="FC89" i="1" s="1"/>
  <c r="FC85" i="1"/>
  <c r="FC81" i="1" s="1"/>
  <c r="AU51" i="1" a="1"/>
  <c r="AU51" i="1" s="1"/>
  <c r="AU54" i="1" s="1"/>
  <c r="AU46" i="1"/>
  <c r="FC50" i="1"/>
  <c r="FB47" i="1"/>
  <c r="FC46" i="1"/>
  <c r="FC47" i="1" s="1"/>
  <c r="T51" i="1" a="1"/>
  <c r="T51" i="1" s="1"/>
  <c r="T54" i="1" s="1"/>
  <c r="EN73" i="1" l="1"/>
  <c r="DT57" i="1"/>
  <c r="EN108" i="1"/>
  <c r="DT92" i="1"/>
  <c r="DT22" i="1"/>
  <c r="EN38" i="1"/>
  <c r="ET22" i="1" s="1"/>
  <c r="FD53" i="1"/>
  <c r="FD51" i="1" s="1" a="1"/>
  <c r="FD51" i="1" s="1"/>
  <c r="FD54" i="1" s="1"/>
  <c r="FD50" i="1"/>
  <c r="CU51" i="1" a="1"/>
  <c r="CU51" i="1" s="1"/>
  <c r="CU54" i="1" s="1"/>
  <c r="U88" i="1"/>
  <c r="U86" i="1" s="1" a="1"/>
  <c r="U86" i="1" s="1"/>
  <c r="U89" i="1" s="1"/>
  <c r="U85" i="1"/>
  <c r="AV85" i="1"/>
  <c r="AU82" i="1"/>
  <c r="AU116" i="1"/>
  <c r="AU117" i="1" s="1"/>
  <c r="BU81" i="1"/>
  <c r="BV88" i="1" s="1"/>
  <c r="BV86" i="1" s="1" a="1"/>
  <c r="BV86" i="1" s="1"/>
  <c r="BV89" i="1" s="1"/>
  <c r="DT53" i="1"/>
  <c r="DT51" i="1" s="1" a="1"/>
  <c r="DT51" i="1" s="1"/>
  <c r="DT54" i="1" s="1"/>
  <c r="BV50" i="1"/>
  <c r="BV53" i="1"/>
  <c r="BV51" i="1" s="1" a="1"/>
  <c r="BV51" i="1" s="1"/>
  <c r="BV54" i="1" s="1"/>
  <c r="CU116" i="1"/>
  <c r="CU117" i="1" s="1"/>
  <c r="CU81" i="1"/>
  <c r="CV85" i="1" s="1"/>
  <c r="AV88" i="1"/>
  <c r="AV86" i="1" s="1" a="1"/>
  <c r="AV86" i="1" s="1"/>
  <c r="AV89" i="1" s="1"/>
  <c r="BU116" i="1"/>
  <c r="BV123" i="1" s="1"/>
  <c r="BV121" i="1" s="1" a="1"/>
  <c r="BV121" i="1" s="1"/>
  <c r="BV124" i="1" s="1"/>
  <c r="DT50" i="1"/>
  <c r="DT88" i="1"/>
  <c r="DT86" i="1" s="1" a="1"/>
  <c r="DT86" i="1" s="1"/>
  <c r="DT89" i="1" s="1"/>
  <c r="DT120" i="1"/>
  <c r="DS82" i="1"/>
  <c r="DT123" i="1"/>
  <c r="DT121" i="1" s="1" a="1"/>
  <c r="DT121" i="1" s="1"/>
  <c r="DT124" i="1" s="1"/>
  <c r="U121" i="1" a="1"/>
  <c r="U121" i="1" s="1"/>
  <c r="U124" i="1" s="1"/>
  <c r="U116" i="1"/>
  <c r="FC117" i="1"/>
  <c r="FD120" i="1"/>
  <c r="FD123" i="1"/>
  <c r="FD121" i="1" s="1" a="1"/>
  <c r="FD121" i="1" s="1"/>
  <c r="FD124" i="1" s="1"/>
  <c r="FC82" i="1"/>
  <c r="FD88" i="1"/>
  <c r="FD86" i="1" s="1" a="1"/>
  <c r="FD86" i="1" s="1"/>
  <c r="FD89" i="1" s="1"/>
  <c r="FD85" i="1"/>
  <c r="FD81" i="1" s="1"/>
  <c r="AU47" i="1"/>
  <c r="AV53" i="1"/>
  <c r="AV51" i="1" s="1" a="1"/>
  <c r="AV51" i="1" s="1"/>
  <c r="AV54" i="1" s="1"/>
  <c r="AV50" i="1"/>
  <c r="CV53" i="1"/>
  <c r="CV51" i="1" s="1" a="1"/>
  <c r="CV51" i="1" s="1"/>
  <c r="CV54" i="1" s="1"/>
  <c r="CU47" i="1"/>
  <c r="CV50" i="1"/>
  <c r="FD46" i="1"/>
  <c r="FD47" i="1" s="1"/>
  <c r="U50" i="1"/>
  <c r="U53" i="1"/>
  <c r="T47" i="1"/>
  <c r="CV120" i="1" l="1"/>
  <c r="U81" i="1"/>
  <c r="V88" i="1" s="1"/>
  <c r="V86" i="1" s="1" a="1"/>
  <c r="V86" i="1" s="1"/>
  <c r="V89" i="1" s="1"/>
  <c r="AV81" i="1"/>
  <c r="AV82" i="1" s="1"/>
  <c r="CV123" i="1"/>
  <c r="CV121" i="1" s="1" a="1"/>
  <c r="CV121" i="1" s="1"/>
  <c r="CV124" i="1" s="1"/>
  <c r="DT46" i="1"/>
  <c r="DU50" i="1" s="1"/>
  <c r="BV46" i="1"/>
  <c r="BW50" i="1" s="1"/>
  <c r="AV120" i="1"/>
  <c r="AV123" i="1"/>
  <c r="AV121" i="1" s="1" a="1"/>
  <c r="AV121" i="1" s="1"/>
  <c r="AV124" i="1" s="1"/>
  <c r="BU82" i="1"/>
  <c r="BV85" i="1"/>
  <c r="BV81" i="1" s="1"/>
  <c r="BW88" i="1" s="1"/>
  <c r="BW86" i="1" s="1" a="1"/>
  <c r="BW86" i="1" s="1"/>
  <c r="BW89" i="1" s="1"/>
  <c r="U46" i="1"/>
  <c r="CU82" i="1"/>
  <c r="CV88" i="1"/>
  <c r="CV86" i="1" s="1" a="1"/>
  <c r="CV86" i="1" s="1"/>
  <c r="CV89" i="1" s="1"/>
  <c r="BU117" i="1"/>
  <c r="DT81" i="1"/>
  <c r="DU85" i="1" s="1"/>
  <c r="BV120" i="1"/>
  <c r="BV116" i="1" s="1"/>
  <c r="DT116" i="1"/>
  <c r="DT117" i="1" s="1"/>
  <c r="AV46" i="1"/>
  <c r="AV47" i="1" s="1"/>
  <c r="U117" i="1"/>
  <c r="V123" i="1"/>
  <c r="V121" i="1" s="1" a="1"/>
  <c r="V121" i="1" s="1"/>
  <c r="V124" i="1" s="1"/>
  <c r="V120" i="1"/>
  <c r="FD116" i="1"/>
  <c r="FD82" i="1"/>
  <c r="FE88" i="1"/>
  <c r="FE86" i="1" s="1" a="1"/>
  <c r="FE86" i="1" s="1"/>
  <c r="FE89" i="1" s="1"/>
  <c r="FE85" i="1"/>
  <c r="CV46" i="1"/>
  <c r="FE50" i="1"/>
  <c r="FE53" i="1"/>
  <c r="FE51" i="1" s="1" a="1"/>
  <c r="FE51" i="1" s="1"/>
  <c r="FE54" i="1" s="1"/>
  <c r="U51" i="1" a="1"/>
  <c r="U51" i="1" s="1"/>
  <c r="U54" i="1" s="1"/>
  <c r="U82" i="1" l="1"/>
  <c r="BV47" i="1"/>
  <c r="V85" i="1"/>
  <c r="V81" i="1" s="1"/>
  <c r="AW85" i="1"/>
  <c r="CV116" i="1"/>
  <c r="CW123" i="1" s="1"/>
  <c r="CW121" i="1" s="1" a="1"/>
  <c r="CW121" i="1" s="1"/>
  <c r="CW124" i="1" s="1"/>
  <c r="AW88" i="1"/>
  <c r="AW86" i="1" s="1" a="1"/>
  <c r="AW86" i="1" s="1"/>
  <c r="AW89" i="1" s="1"/>
  <c r="AV116" i="1"/>
  <c r="AV117" i="1" s="1"/>
  <c r="DT47" i="1"/>
  <c r="DU53" i="1"/>
  <c r="DU51" i="1" s="1" a="1"/>
  <c r="DU51" i="1" s="1"/>
  <c r="DU54" i="1" s="1"/>
  <c r="BW53" i="1"/>
  <c r="BW51" i="1" s="1" a="1"/>
  <c r="BW51" i="1" s="1"/>
  <c r="BW54" i="1" s="1"/>
  <c r="BV82" i="1"/>
  <c r="BW85" i="1"/>
  <c r="BW81" i="1" s="1"/>
  <c r="BX85" i="1" s="1"/>
  <c r="DT82" i="1"/>
  <c r="CV81" i="1"/>
  <c r="CW85" i="1" s="1"/>
  <c r="DU88" i="1"/>
  <c r="DU86" i="1" s="1" a="1"/>
  <c r="DU86" i="1" s="1"/>
  <c r="DU89" i="1" s="1"/>
  <c r="AW53" i="1"/>
  <c r="AW51" i="1" s="1" a="1"/>
  <c r="AW51" i="1" s="1"/>
  <c r="AW54" i="1" s="1"/>
  <c r="AW50" i="1"/>
  <c r="DU120" i="1"/>
  <c r="DU123" i="1"/>
  <c r="DU121" i="1" s="1" a="1"/>
  <c r="DU121" i="1" s="1"/>
  <c r="DU124" i="1" s="1"/>
  <c r="V116" i="1"/>
  <c r="W120" i="1" s="1"/>
  <c r="BV117" i="1"/>
  <c r="BW120" i="1"/>
  <c r="BW123" i="1"/>
  <c r="BW121" i="1" s="1" a="1"/>
  <c r="BW121" i="1" s="1"/>
  <c r="BW124" i="1" s="1"/>
  <c r="FD117" i="1"/>
  <c r="FE120" i="1"/>
  <c r="FE123" i="1"/>
  <c r="FE121" i="1" s="1" a="1"/>
  <c r="FE121" i="1" s="1"/>
  <c r="FE124" i="1" s="1"/>
  <c r="FE81" i="1"/>
  <c r="CW50" i="1"/>
  <c r="CV47" i="1"/>
  <c r="CW53" i="1"/>
  <c r="CW51" i="1" s="1" a="1"/>
  <c r="CW51" i="1" s="1"/>
  <c r="CW54" i="1" s="1"/>
  <c r="FE46" i="1"/>
  <c r="V50" i="1"/>
  <c r="U47" i="1"/>
  <c r="V53" i="1"/>
  <c r="CW120" i="1" l="1"/>
  <c r="CW116" i="1" s="1"/>
  <c r="CX120" i="1" s="1"/>
  <c r="CV117" i="1"/>
  <c r="AW81" i="1"/>
  <c r="AX85" i="1" s="1"/>
  <c r="DU46" i="1"/>
  <c r="DV50" i="1" s="1"/>
  <c r="AW120" i="1"/>
  <c r="AW123" i="1"/>
  <c r="AW121" i="1" s="1" a="1"/>
  <c r="AW121" i="1" s="1"/>
  <c r="AW124" i="1" s="1"/>
  <c r="CW88" i="1"/>
  <c r="CW86" i="1" s="1" a="1"/>
  <c r="CW86" i="1" s="1"/>
  <c r="CW89" i="1" s="1"/>
  <c r="BX88" i="1"/>
  <c r="BX86" i="1" s="1" a="1"/>
  <c r="BX86" i="1" s="1"/>
  <c r="BX89" i="1" s="1"/>
  <c r="BW82" i="1"/>
  <c r="BW46" i="1"/>
  <c r="BX50" i="1" s="1"/>
  <c r="CV82" i="1"/>
  <c r="DU81" i="1"/>
  <c r="DV88" i="1" s="1"/>
  <c r="DV86" i="1" s="1" a="1"/>
  <c r="DV86" i="1" s="1"/>
  <c r="DV89" i="1" s="1"/>
  <c r="V117" i="1"/>
  <c r="AW46" i="1"/>
  <c r="AX50" i="1" s="1"/>
  <c r="W123" i="1"/>
  <c r="W121" i="1" s="1" a="1"/>
  <c r="W121" i="1" s="1"/>
  <c r="W124" i="1" s="1"/>
  <c r="V82" i="1"/>
  <c r="W88" i="1"/>
  <c r="W86" i="1" s="1" a="1"/>
  <c r="W86" i="1" s="1"/>
  <c r="W89" i="1" s="1"/>
  <c r="W85" i="1"/>
  <c r="DU116" i="1"/>
  <c r="BW116" i="1"/>
  <c r="BX123" i="1" s="1"/>
  <c r="BX121" i="1" s="1" a="1"/>
  <c r="BX121" i="1" s="1"/>
  <c r="BX124" i="1" s="1"/>
  <c r="FE116" i="1"/>
  <c r="FE82" i="1"/>
  <c r="FF85" i="1"/>
  <c r="FF81" i="1" s="1"/>
  <c r="FF88" i="1"/>
  <c r="FF86" i="1" s="1" a="1"/>
  <c r="FF86" i="1" s="1"/>
  <c r="FF89" i="1" s="1"/>
  <c r="CW46" i="1"/>
  <c r="FF50" i="1"/>
  <c r="FE47" i="1"/>
  <c r="FF53" i="1"/>
  <c r="FF51" i="1" s="1" a="1"/>
  <c r="FF51" i="1" s="1"/>
  <c r="FF54" i="1" s="1"/>
  <c r="V46" i="1"/>
  <c r="V51" i="1" a="1"/>
  <c r="V51" i="1" s="1"/>
  <c r="V54" i="1" s="1"/>
  <c r="DY63" i="1"/>
  <c r="CY63" i="1"/>
  <c r="BY63" i="1"/>
  <c r="DU47" i="1" l="1"/>
  <c r="DV53" i="1"/>
  <c r="DV51" i="1" s="1" a="1"/>
  <c r="DV51" i="1" s="1"/>
  <c r="DV54" i="1" s="1"/>
  <c r="AX88" i="1"/>
  <c r="AX86" i="1" s="1" a="1"/>
  <c r="AX86" i="1" s="1"/>
  <c r="AX89" i="1" s="1"/>
  <c r="AW82" i="1"/>
  <c r="BX81" i="1"/>
  <c r="BX82" i="1" s="1"/>
  <c r="AW116" i="1"/>
  <c r="AW117" i="1" s="1"/>
  <c r="CW81" i="1"/>
  <c r="CX88" i="1" s="1"/>
  <c r="CX86" i="1" s="1" a="1"/>
  <c r="CX86" i="1" s="1"/>
  <c r="CX89" i="1" s="1"/>
  <c r="BX53" i="1"/>
  <c r="BX51" i="1" s="1" a="1"/>
  <c r="BX51" i="1" s="1"/>
  <c r="BX54" i="1" s="1"/>
  <c r="BW47" i="1"/>
  <c r="W116" i="1"/>
  <c r="W117" i="1" s="1"/>
  <c r="W81" i="1"/>
  <c r="W82" i="1" s="1"/>
  <c r="DU82" i="1"/>
  <c r="DV85" i="1"/>
  <c r="DV81" i="1" s="1"/>
  <c r="DW88" i="1" s="1"/>
  <c r="DW86" i="1" s="1" a="1"/>
  <c r="DW86" i="1" s="1"/>
  <c r="DW89" i="1" s="1"/>
  <c r="AW47" i="1"/>
  <c r="AX53" i="1"/>
  <c r="AX51" i="1" s="1" a="1"/>
  <c r="AX51" i="1" s="1"/>
  <c r="AX54" i="1" s="1"/>
  <c r="BW117" i="1"/>
  <c r="DV120" i="1"/>
  <c r="DU117" i="1"/>
  <c r="DV123" i="1"/>
  <c r="DV121" i="1" s="1" a="1"/>
  <c r="DV121" i="1" s="1"/>
  <c r="DV124" i="1" s="1"/>
  <c r="CX123" i="1"/>
  <c r="CX121" i="1" s="1" a="1"/>
  <c r="CX121" i="1" s="1"/>
  <c r="CX124" i="1" s="1"/>
  <c r="CW117" i="1"/>
  <c r="BX120" i="1"/>
  <c r="BX116" i="1" s="1"/>
  <c r="BX117" i="1" s="1"/>
  <c r="FE117" i="1"/>
  <c r="FF123" i="1"/>
  <c r="FF121" i="1" s="1" a="1"/>
  <c r="FF121" i="1" s="1"/>
  <c r="FF124" i="1" s="1"/>
  <c r="FF120" i="1"/>
  <c r="FF116" i="1" s="1"/>
  <c r="FF82" i="1"/>
  <c r="FG85" i="1"/>
  <c r="FG88" i="1"/>
  <c r="FG86" i="1" s="1" a="1"/>
  <c r="FG86" i="1" s="1"/>
  <c r="FG89" i="1" s="1"/>
  <c r="CW47" i="1"/>
  <c r="CX50" i="1"/>
  <c r="CX53" i="1"/>
  <c r="CX51" i="1" s="1" a="1"/>
  <c r="CX51" i="1" s="1"/>
  <c r="CX54" i="1" s="1"/>
  <c r="FF46" i="1"/>
  <c r="W53" i="1"/>
  <c r="V47" i="1"/>
  <c r="W50" i="1"/>
  <c r="E79" i="1"/>
  <c r="J71" i="1"/>
  <c r="CX85" i="1" l="1"/>
  <c r="CX81" i="1" s="1"/>
  <c r="CY85" i="1" s="1"/>
  <c r="AX123" i="1"/>
  <c r="AX121" i="1" s="1" a="1"/>
  <c r="AX121" i="1" s="1"/>
  <c r="AX124" i="1" s="1"/>
  <c r="AX81" i="1"/>
  <c r="AY88" i="1" s="1"/>
  <c r="DV46" i="1"/>
  <c r="DW53" i="1" s="1"/>
  <c r="DW51" i="1" s="1" a="1"/>
  <c r="DW51" i="1" s="1"/>
  <c r="DW54" i="1" s="1"/>
  <c r="BY85" i="1"/>
  <c r="AX120" i="1"/>
  <c r="BY88" i="1"/>
  <c r="BY86" i="1" s="1" a="1"/>
  <c r="BY86" i="1" s="1"/>
  <c r="BY89" i="1" s="1"/>
  <c r="BX46" i="1"/>
  <c r="BY53" i="1" s="1"/>
  <c r="BY51" i="1" s="1" a="1"/>
  <c r="BY51" i="1" s="1"/>
  <c r="BY54" i="1" s="1"/>
  <c r="CW82" i="1"/>
  <c r="X120" i="1"/>
  <c r="X123" i="1"/>
  <c r="X121" i="1" s="1" a="1"/>
  <c r="X121" i="1" s="1"/>
  <c r="X124" i="1" s="1"/>
  <c r="DW85" i="1"/>
  <c r="DW81" i="1" s="1"/>
  <c r="DV82" i="1"/>
  <c r="X88" i="1"/>
  <c r="X86" i="1" s="1" a="1"/>
  <c r="X86" i="1" s="1"/>
  <c r="X89" i="1" s="1"/>
  <c r="X85" i="1"/>
  <c r="AX46" i="1"/>
  <c r="AY50" i="1" s="1"/>
  <c r="BY123" i="1"/>
  <c r="BY121" i="1" s="1" a="1"/>
  <c r="BY121" i="1" s="1"/>
  <c r="BY124" i="1" s="1"/>
  <c r="BY120" i="1"/>
  <c r="CX116" i="1"/>
  <c r="CX117" i="1" s="1"/>
  <c r="DV116" i="1"/>
  <c r="W46" i="1"/>
  <c r="X50" i="1" s="1"/>
  <c r="FF117" i="1"/>
  <c r="FG123" i="1"/>
  <c r="FG121" i="1" s="1" a="1"/>
  <c r="FG121" i="1" s="1"/>
  <c r="FG124" i="1" s="1"/>
  <c r="FG120" i="1"/>
  <c r="FG116" i="1" s="1"/>
  <c r="FG81" i="1"/>
  <c r="CX46" i="1"/>
  <c r="FF47" i="1"/>
  <c r="FG53" i="1"/>
  <c r="FG51" i="1" s="1" a="1"/>
  <c r="FG51" i="1" s="1"/>
  <c r="FG54" i="1" s="1"/>
  <c r="FG50" i="1"/>
  <c r="W51" i="1" a="1"/>
  <c r="W51" i="1" s="1"/>
  <c r="W54" i="1" s="1"/>
  <c r="J72" i="1"/>
  <c r="CY88" i="1" l="1"/>
  <c r="CY86" i="1" s="1" a="1"/>
  <c r="CY86" i="1" s="1"/>
  <c r="CY89" i="1" s="1"/>
  <c r="CX82" i="1"/>
  <c r="AX82" i="1"/>
  <c r="AY85" i="1"/>
  <c r="AY81" i="1" s="1"/>
  <c r="AX116" i="1"/>
  <c r="AY123" i="1" s="1"/>
  <c r="AY121" i="1" s="1" a="1"/>
  <c r="AY121" i="1" s="1"/>
  <c r="AY124" i="1" s="1"/>
  <c r="BY81" i="1"/>
  <c r="BZ85" i="1" s="1"/>
  <c r="DW50" i="1"/>
  <c r="DW46" i="1" s="1"/>
  <c r="DV47" i="1"/>
  <c r="X116" i="1"/>
  <c r="X117" i="1" s="1"/>
  <c r="BY50" i="1"/>
  <c r="BY46" i="1" s="1"/>
  <c r="BZ50" i="1" s="1"/>
  <c r="BX47" i="1"/>
  <c r="X81" i="1"/>
  <c r="X82" i="1" s="1"/>
  <c r="AX47" i="1"/>
  <c r="AY53" i="1"/>
  <c r="AY86" i="1" a="1"/>
  <c r="AY86" i="1" s="1"/>
  <c r="AY89" i="1" s="1"/>
  <c r="X53" i="1"/>
  <c r="X51" i="1" s="1" a="1"/>
  <c r="X51" i="1" s="1"/>
  <c r="X54" i="1" s="1"/>
  <c r="CY123" i="1"/>
  <c r="CY121" i="1" s="1" a="1"/>
  <c r="CY121" i="1" s="1"/>
  <c r="CY124" i="1" s="1"/>
  <c r="BY116" i="1"/>
  <c r="BZ120" i="1" s="1"/>
  <c r="CY120" i="1"/>
  <c r="DW120" i="1"/>
  <c r="DW123" i="1"/>
  <c r="DW121" i="1" s="1" a="1"/>
  <c r="DW121" i="1" s="1"/>
  <c r="DW124" i="1" s="1"/>
  <c r="DV117" i="1"/>
  <c r="W47" i="1"/>
  <c r="DW82" i="1"/>
  <c r="DX88" i="1"/>
  <c r="DX86" i="1" s="1" a="1"/>
  <c r="DX86" i="1" s="1"/>
  <c r="DX89" i="1" s="1"/>
  <c r="DX85" i="1"/>
  <c r="FG117" i="1"/>
  <c r="FH123" i="1"/>
  <c r="FH121" i="1" s="1" a="1"/>
  <c r="FH121" i="1" s="1"/>
  <c r="FH124" i="1" s="1"/>
  <c r="FH120" i="1"/>
  <c r="FH116" i="1" s="1"/>
  <c r="FG82" i="1"/>
  <c r="FH88" i="1"/>
  <c r="FH86" i="1" s="1" a="1"/>
  <c r="FH86" i="1" s="1"/>
  <c r="FH89" i="1" s="1"/>
  <c r="FH85" i="1"/>
  <c r="FH81" i="1" s="1"/>
  <c r="CY53" i="1"/>
  <c r="CY51" i="1" s="1" a="1"/>
  <c r="CY51" i="1" s="1"/>
  <c r="CY54" i="1" s="1"/>
  <c r="CY50" i="1"/>
  <c r="CX47" i="1"/>
  <c r="FG46" i="1"/>
  <c r="CY81" i="1" l="1"/>
  <c r="CY82" i="1" s="1"/>
  <c r="AY120" i="1"/>
  <c r="AY116" i="1" s="1"/>
  <c r="AZ120" i="1" s="1"/>
  <c r="AX117" i="1"/>
  <c r="Y85" i="1"/>
  <c r="BY82" i="1"/>
  <c r="BZ88" i="1"/>
  <c r="BZ86" i="1" s="1" a="1"/>
  <c r="BZ86" i="1" s="1"/>
  <c r="BZ89" i="1" s="1"/>
  <c r="Y123" i="1"/>
  <c r="Y121" i="1" s="1" a="1"/>
  <c r="Y121" i="1" s="1"/>
  <c r="Y124" i="1" s="1"/>
  <c r="Y120" i="1"/>
  <c r="BY47" i="1"/>
  <c r="BZ53" i="1"/>
  <c r="BZ51" i="1" s="1" a="1"/>
  <c r="BZ51" i="1" s="1"/>
  <c r="BZ54" i="1" s="1"/>
  <c r="X46" i="1"/>
  <c r="Y53" i="1" s="1"/>
  <c r="Y51" i="1" s="1" a="1"/>
  <c r="Y51" i="1" s="1"/>
  <c r="Y54" i="1" s="1"/>
  <c r="CY116" i="1"/>
  <c r="CZ120" i="1" s="1"/>
  <c r="Y88" i="1"/>
  <c r="Y86" i="1" s="1" a="1"/>
  <c r="Y86" i="1" s="1"/>
  <c r="Y89" i="1" s="1"/>
  <c r="AY51" i="1" a="1"/>
  <c r="AY51" i="1" s="1"/>
  <c r="AY54" i="1" s="1"/>
  <c r="AY46" i="1"/>
  <c r="AZ88" i="1"/>
  <c r="AY82" i="1"/>
  <c r="AZ85" i="1"/>
  <c r="BY117" i="1"/>
  <c r="BZ123" i="1"/>
  <c r="BZ121" i="1" s="1" a="1"/>
  <c r="BZ121" i="1" s="1"/>
  <c r="BZ124" i="1" s="1"/>
  <c r="DW116" i="1"/>
  <c r="DX81" i="1"/>
  <c r="FH117" i="1"/>
  <c r="FI120" i="1"/>
  <c r="FI116" i="1" s="1"/>
  <c r="FI123" i="1"/>
  <c r="FI121" i="1" s="1" a="1"/>
  <c r="FI121" i="1" s="1"/>
  <c r="FI124" i="1" s="1"/>
  <c r="FH82" i="1"/>
  <c r="FI88" i="1"/>
  <c r="FI86" i="1" s="1" a="1"/>
  <c r="FI86" i="1" s="1"/>
  <c r="FI89" i="1" s="1"/>
  <c r="FI85" i="1"/>
  <c r="FI81" i="1" s="1"/>
  <c r="CY46" i="1"/>
  <c r="CZ53" i="1" s="1"/>
  <c r="CZ51" i="1" s="1" a="1"/>
  <c r="CZ51" i="1" s="1"/>
  <c r="CZ54" i="1" s="1"/>
  <c r="DX50" i="1"/>
  <c r="DW47" i="1"/>
  <c r="DX53" i="1"/>
  <c r="DX51" i="1" s="1" a="1"/>
  <c r="DX51" i="1" s="1"/>
  <c r="DX54" i="1" s="1"/>
  <c r="FG47" i="1"/>
  <c r="FH53" i="1"/>
  <c r="FH51" i="1" s="1" a="1"/>
  <c r="FH51" i="1" s="1"/>
  <c r="FH54" i="1" s="1"/>
  <c r="FH50" i="1"/>
  <c r="FH46" i="1" l="1"/>
  <c r="CZ85" i="1"/>
  <c r="AY117" i="1"/>
  <c r="CZ88" i="1"/>
  <c r="CZ86" i="1" s="1" a="1"/>
  <c r="CZ86" i="1" s="1"/>
  <c r="CZ89" i="1" s="1"/>
  <c r="AZ123" i="1"/>
  <c r="AZ121" i="1" s="1" a="1"/>
  <c r="AZ121" i="1" s="1"/>
  <c r="AZ124" i="1" s="1"/>
  <c r="BZ81" i="1"/>
  <c r="BZ82" i="1" s="1"/>
  <c r="Y116" i="1"/>
  <c r="Y117" i="1" s="1"/>
  <c r="CZ123" i="1"/>
  <c r="CZ121" i="1" s="1" a="1"/>
  <c r="CZ121" i="1" s="1"/>
  <c r="CZ124" i="1" s="1"/>
  <c r="CY117" i="1"/>
  <c r="Y50" i="1"/>
  <c r="Y46" i="1" s="1"/>
  <c r="Y81" i="1"/>
  <c r="Y82" i="1" s="1"/>
  <c r="X47" i="1"/>
  <c r="BZ46" i="1"/>
  <c r="CA53" i="1" s="1"/>
  <c r="CA51" i="1" s="1" a="1"/>
  <c r="CA51" i="1" s="1"/>
  <c r="CA54" i="1" s="1"/>
  <c r="AZ53" i="1"/>
  <c r="AY47" i="1"/>
  <c r="AZ50" i="1"/>
  <c r="AZ86" i="1" a="1"/>
  <c r="AZ86" i="1" s="1"/>
  <c r="AZ89" i="1" s="1"/>
  <c r="AZ81" i="1"/>
  <c r="BZ116" i="1"/>
  <c r="CA123" i="1" s="1"/>
  <c r="CA121" i="1" s="1" a="1"/>
  <c r="CA121" i="1" s="1"/>
  <c r="CA124" i="1" s="1"/>
  <c r="DW117" i="1"/>
  <c r="DX120" i="1"/>
  <c r="DX123" i="1"/>
  <c r="DX121" i="1" s="1" a="1"/>
  <c r="DX121" i="1" s="1"/>
  <c r="DX124" i="1" s="1"/>
  <c r="CY47" i="1"/>
  <c r="DX82" i="1"/>
  <c r="DY88" i="1"/>
  <c r="DY86" i="1" s="1" a="1"/>
  <c r="DY86" i="1" s="1"/>
  <c r="DY89" i="1" s="1"/>
  <c r="DY85" i="1"/>
  <c r="DX46" i="1"/>
  <c r="DX47" i="1" s="1"/>
  <c r="CZ50" i="1"/>
  <c r="CZ46" i="1" s="1"/>
  <c r="DA53" i="1" s="1"/>
  <c r="DA51" i="1" s="1" a="1"/>
  <c r="DA51" i="1" s="1"/>
  <c r="DA54" i="1" s="1"/>
  <c r="FI117" i="1"/>
  <c r="FJ123" i="1"/>
  <c r="FJ121" i="1" s="1" a="1"/>
  <c r="FJ121" i="1" s="1"/>
  <c r="FJ124" i="1" s="1"/>
  <c r="FJ120" i="1"/>
  <c r="FI82" i="1"/>
  <c r="FJ85" i="1"/>
  <c r="FJ88" i="1"/>
  <c r="FJ86" i="1" s="1" a="1"/>
  <c r="FJ86" i="1" s="1"/>
  <c r="FJ89" i="1" s="1"/>
  <c r="FI53" i="1"/>
  <c r="FI51" i="1" s="1" a="1"/>
  <c r="FI51" i="1" s="1"/>
  <c r="FI54" i="1" s="1"/>
  <c r="FH47" i="1"/>
  <c r="FI50" i="1"/>
  <c r="FI46" i="1" l="1"/>
  <c r="AZ116" i="1"/>
  <c r="BA123" i="1" s="1"/>
  <c r="BA121" i="1" s="1" a="1"/>
  <c r="BA121" i="1" s="1"/>
  <c r="BA124" i="1" s="1"/>
  <c r="CZ81" i="1"/>
  <c r="CZ82" i="1" s="1"/>
  <c r="CA85" i="1"/>
  <c r="Z123" i="1"/>
  <c r="Z121" i="1" s="1" a="1"/>
  <c r="Z121" i="1" s="1"/>
  <c r="Z124" i="1" s="1"/>
  <c r="Z88" i="1"/>
  <c r="Z86" i="1" s="1" a="1"/>
  <c r="Z86" i="1" s="1"/>
  <c r="Z89" i="1" s="1"/>
  <c r="CA88" i="1"/>
  <c r="CA86" i="1" s="1" a="1"/>
  <c r="CA86" i="1" s="1"/>
  <c r="CA89" i="1" s="1"/>
  <c r="Z120" i="1"/>
  <c r="CZ116" i="1"/>
  <c r="DA123" i="1" s="1"/>
  <c r="DA121" i="1" s="1" a="1"/>
  <c r="DA121" i="1" s="1"/>
  <c r="DA124" i="1" s="1"/>
  <c r="Z85" i="1"/>
  <c r="CA50" i="1"/>
  <c r="CA46" i="1" s="1"/>
  <c r="CB50" i="1" s="1"/>
  <c r="BZ47" i="1"/>
  <c r="BZ117" i="1"/>
  <c r="AZ51" i="1" a="1"/>
  <c r="AZ51" i="1" s="1"/>
  <c r="AZ54" i="1" s="1"/>
  <c r="AZ46" i="1"/>
  <c r="AZ82" i="1"/>
  <c r="BA88" i="1"/>
  <c r="BA85" i="1"/>
  <c r="CA120" i="1"/>
  <c r="CA116" i="1" s="1"/>
  <c r="CA117" i="1" s="1"/>
  <c r="DY50" i="1"/>
  <c r="DY81" i="1"/>
  <c r="DZ88" i="1" s="1"/>
  <c r="DZ86" i="1" s="1" a="1"/>
  <c r="DZ86" i="1" s="1"/>
  <c r="DZ89" i="1" s="1"/>
  <c r="DX116" i="1"/>
  <c r="DY53" i="1"/>
  <c r="DY51" i="1" s="1" a="1"/>
  <c r="DY51" i="1" s="1"/>
  <c r="DY54" i="1" s="1"/>
  <c r="DA50" i="1"/>
  <c r="DA46" i="1" s="1"/>
  <c r="DB53" i="1" s="1"/>
  <c r="DB51" i="1" s="1" a="1"/>
  <c r="DB51" i="1" s="1"/>
  <c r="DB54" i="1" s="1"/>
  <c r="CZ47" i="1"/>
  <c r="FJ116" i="1"/>
  <c r="FJ81" i="1"/>
  <c r="FI47" i="1"/>
  <c r="FJ53" i="1"/>
  <c r="FJ51" i="1" s="1" a="1"/>
  <c r="FJ51" i="1" s="1"/>
  <c r="FJ54" i="1" s="1"/>
  <c r="FJ50" i="1"/>
  <c r="Y47" i="1"/>
  <c r="Z50" i="1"/>
  <c r="Z53" i="1"/>
  <c r="Z51" i="1" s="1" a="1"/>
  <c r="Z51" i="1" s="1"/>
  <c r="Z54" i="1" s="1"/>
  <c r="BA120" i="1" l="1"/>
  <c r="BA116" i="1" s="1"/>
  <c r="BB120" i="1" s="1"/>
  <c r="Z81" i="1"/>
  <c r="AA88" i="1" s="1"/>
  <c r="AA86" i="1" s="1" a="1"/>
  <c r="AA86" i="1" s="1"/>
  <c r="AA89" i="1" s="1"/>
  <c r="DA88" i="1"/>
  <c r="DA86" i="1" s="1" a="1"/>
  <c r="DA86" i="1" s="1"/>
  <c r="DA89" i="1" s="1"/>
  <c r="DA85" i="1"/>
  <c r="AZ117" i="1"/>
  <c r="Z116" i="1"/>
  <c r="AA123" i="1" s="1"/>
  <c r="AA121" i="1" s="1" a="1"/>
  <c r="AA121" i="1" s="1"/>
  <c r="AA124" i="1" s="1"/>
  <c r="DA120" i="1"/>
  <c r="DA116" i="1" s="1"/>
  <c r="DA117" i="1" s="1"/>
  <c r="CA81" i="1"/>
  <c r="CB88" i="1" s="1"/>
  <c r="CB86" i="1" s="1" a="1"/>
  <c r="CB86" i="1" s="1"/>
  <c r="CB89" i="1" s="1"/>
  <c r="CZ117" i="1"/>
  <c r="CB53" i="1"/>
  <c r="CB51" i="1" s="1" a="1"/>
  <c r="CB51" i="1" s="1"/>
  <c r="CB54" i="1" s="1"/>
  <c r="CA47" i="1"/>
  <c r="BA50" i="1"/>
  <c r="AZ47" i="1"/>
  <c r="BA53" i="1"/>
  <c r="BA86" i="1" a="1"/>
  <c r="BA86" i="1" s="1"/>
  <c r="BA89" i="1" s="1"/>
  <c r="BA81" i="1"/>
  <c r="DY82" i="1"/>
  <c r="DZ85" i="1"/>
  <c r="DZ81" i="1" s="1"/>
  <c r="DY46" i="1"/>
  <c r="DY47" i="1" s="1"/>
  <c r="CB123" i="1"/>
  <c r="CB121" i="1" s="1" a="1"/>
  <c r="CB121" i="1" s="1"/>
  <c r="CB124" i="1" s="1"/>
  <c r="CB120" i="1"/>
  <c r="DY120" i="1"/>
  <c r="DX117" i="1"/>
  <c r="DY123" i="1"/>
  <c r="DY121" i="1" s="1" a="1"/>
  <c r="DY121" i="1" s="1"/>
  <c r="DY124" i="1" s="1"/>
  <c r="FJ117" i="1"/>
  <c r="FK123" i="1"/>
  <c r="FK121" i="1" s="1" a="1"/>
  <c r="FK121" i="1" s="1"/>
  <c r="FK124" i="1" s="1"/>
  <c r="FK120" i="1"/>
  <c r="FK116" i="1" s="1"/>
  <c r="FK117" i="1" s="1"/>
  <c r="FJ82" i="1"/>
  <c r="FK88" i="1"/>
  <c r="FK86" i="1" s="1" a="1"/>
  <c r="FK86" i="1" s="1"/>
  <c r="FK89" i="1" s="1"/>
  <c r="FK85" i="1"/>
  <c r="DA47" i="1"/>
  <c r="DB50" i="1"/>
  <c r="DB46" i="1" s="1"/>
  <c r="FJ46" i="1"/>
  <c r="Z46" i="1"/>
  <c r="Z82" i="1" l="1"/>
  <c r="AA85" i="1"/>
  <c r="AA81" i="1" s="1"/>
  <c r="AA82" i="1" s="1"/>
  <c r="Z117" i="1"/>
  <c r="DA81" i="1"/>
  <c r="DA82" i="1" s="1"/>
  <c r="BB123" i="1"/>
  <c r="BB121" i="1" s="1" a="1"/>
  <c r="BB121" i="1" s="1"/>
  <c r="BB124" i="1" s="1"/>
  <c r="BA117" i="1"/>
  <c r="AA120" i="1"/>
  <c r="AA116" i="1" s="1"/>
  <c r="AA117" i="1" s="1"/>
  <c r="CB85" i="1"/>
  <c r="CB81" i="1" s="1"/>
  <c r="CB82" i="1" s="1"/>
  <c r="CA82" i="1"/>
  <c r="CB46" i="1"/>
  <c r="CB47" i="1" s="1"/>
  <c r="DZ50" i="1"/>
  <c r="DZ53" i="1"/>
  <c r="DZ51" i="1" s="1" a="1"/>
  <c r="DZ51" i="1" s="1"/>
  <c r="DZ54" i="1" s="1"/>
  <c r="EA85" i="1"/>
  <c r="EA88" i="1"/>
  <c r="EA86" i="1" s="1" a="1"/>
  <c r="EA86" i="1" s="1"/>
  <c r="EA89" i="1" s="1"/>
  <c r="DZ82" i="1"/>
  <c r="BA51" i="1" a="1"/>
  <c r="BA51" i="1" s="1"/>
  <c r="BA54" i="1" s="1"/>
  <c r="BA46" i="1"/>
  <c r="BA82" i="1"/>
  <c r="BB88" i="1"/>
  <c r="BB85" i="1"/>
  <c r="CB116" i="1"/>
  <c r="CC120" i="1" s="1"/>
  <c r="DY116" i="1"/>
  <c r="DZ123" i="1" s="1"/>
  <c r="DZ121" i="1" s="1" a="1"/>
  <c r="DZ121" i="1" s="1"/>
  <c r="DZ124" i="1" s="1"/>
  <c r="DB123" i="1"/>
  <c r="DB121" i="1" s="1" a="1"/>
  <c r="DB121" i="1" s="1"/>
  <c r="DB124" i="1" s="1"/>
  <c r="DB120" i="1"/>
  <c r="FK81" i="1"/>
  <c r="FK82" i="1" s="1"/>
  <c r="DC50" i="1"/>
  <c r="DC53" i="1"/>
  <c r="DC51" i="1" s="1" a="1"/>
  <c r="DC51" i="1" s="1"/>
  <c r="DC54" i="1" s="1"/>
  <c r="DB47" i="1"/>
  <c r="FK50" i="1"/>
  <c r="FK53" i="1"/>
  <c r="FK51" i="1" s="1" a="1"/>
  <c r="FK51" i="1" s="1"/>
  <c r="FK54" i="1" s="1"/>
  <c r="FJ47" i="1"/>
  <c r="Z47" i="1"/>
  <c r="AA53" i="1"/>
  <c r="AA51" i="1" s="1" a="1"/>
  <c r="AA51" i="1" s="1"/>
  <c r="AA54" i="1" s="1"/>
  <c r="AA50" i="1"/>
  <c r="DB88" i="1" l="1"/>
  <c r="DB86" i="1" s="1" a="1"/>
  <c r="DB86" i="1" s="1"/>
  <c r="DB89" i="1" s="1"/>
  <c r="CC50" i="1"/>
  <c r="DB85" i="1"/>
  <c r="BB116" i="1"/>
  <c r="BB117" i="1" s="1"/>
  <c r="CC53" i="1"/>
  <c r="AB123" i="1"/>
  <c r="AB121" i="1" s="1" a="1"/>
  <c r="AB121" i="1" s="1"/>
  <c r="AB124" i="1" s="1"/>
  <c r="AB120" i="1"/>
  <c r="DZ46" i="1"/>
  <c r="DZ47" i="1" s="1"/>
  <c r="CC85" i="1"/>
  <c r="AB88" i="1"/>
  <c r="AB86" i="1" s="1" a="1"/>
  <c r="AB86" i="1" s="1"/>
  <c r="AB89" i="1" s="1"/>
  <c r="CC88" i="1"/>
  <c r="CC86" i="1" s="1" a="1"/>
  <c r="CC86" i="1" s="1"/>
  <c r="CC89" i="1" s="1"/>
  <c r="AB85" i="1"/>
  <c r="EA81" i="1"/>
  <c r="EA82" i="1" s="1"/>
  <c r="BB53" i="1"/>
  <c r="BB50" i="1"/>
  <c r="BA47" i="1"/>
  <c r="BB86" i="1" a="1"/>
  <c r="BB86" i="1" s="1"/>
  <c r="BB89" i="1" s="1"/>
  <c r="BB81" i="1"/>
  <c r="DY117" i="1"/>
  <c r="DZ120" i="1"/>
  <c r="DZ116" i="1" s="1"/>
  <c r="DZ117" i="1" s="1"/>
  <c r="CB117" i="1"/>
  <c r="CC123" i="1"/>
  <c r="CC121" i="1" s="1" a="1"/>
  <c r="CC121" i="1" s="1"/>
  <c r="CC124" i="1" s="1"/>
  <c r="DB116" i="1"/>
  <c r="DC120" i="1" s="1"/>
  <c r="DC46" i="1"/>
  <c r="FK46" i="1"/>
  <c r="FK47" i="1" s="1"/>
  <c r="AA46" i="1"/>
  <c r="AB50" i="1" s="1"/>
  <c r="CC46" i="1" l="1"/>
  <c r="CD50" i="1" s="1"/>
  <c r="DB81" i="1"/>
  <c r="DC88" i="1" s="1"/>
  <c r="DC86" i="1" s="1" a="1"/>
  <c r="DC86" i="1" s="1"/>
  <c r="DC89" i="1" s="1"/>
  <c r="CC51" i="1" a="1"/>
  <c r="CC51" i="1" s="1"/>
  <c r="CC54" i="1" s="1"/>
  <c r="BC123" i="1"/>
  <c r="BC121" i="1" s="1" a="1"/>
  <c r="BC121" i="1" s="1"/>
  <c r="BC124" i="1" s="1"/>
  <c r="BC120" i="1"/>
  <c r="AB116" i="1"/>
  <c r="AB117" i="1" s="1"/>
  <c r="EA50" i="1"/>
  <c r="EA53" i="1"/>
  <c r="EA51" i="1" s="1" a="1"/>
  <c r="EA51" i="1" s="1"/>
  <c r="EA54" i="1" s="1"/>
  <c r="EB85" i="1"/>
  <c r="AB81" i="1"/>
  <c r="AB82" i="1" s="1"/>
  <c r="CC81" i="1"/>
  <c r="CD85" i="1" s="1"/>
  <c r="EB88" i="1"/>
  <c r="EB86" i="1" s="1" a="1"/>
  <c r="EB86" i="1" s="1"/>
  <c r="EB89" i="1" s="1"/>
  <c r="BB46" i="1"/>
  <c r="BB51" i="1" a="1"/>
  <c r="BB51" i="1" s="1"/>
  <c r="BB54" i="1" s="1"/>
  <c r="BB82" i="1"/>
  <c r="BC88" i="1"/>
  <c r="BC86" i="1" s="1" a="1"/>
  <c r="BC86" i="1" s="1"/>
  <c r="BC89" i="1" s="1"/>
  <c r="BC85" i="1"/>
  <c r="CC116" i="1"/>
  <c r="CD120" i="1" s="1"/>
  <c r="EA120" i="1"/>
  <c r="EA123" i="1"/>
  <c r="EA121" i="1" s="1" a="1"/>
  <c r="EA121" i="1" s="1"/>
  <c r="EA124" i="1" s="1"/>
  <c r="DB117" i="1"/>
  <c r="DC123" i="1"/>
  <c r="DC121" i="1" s="1" a="1"/>
  <c r="DC121" i="1" s="1"/>
  <c r="DC124" i="1" s="1"/>
  <c r="DD50" i="1"/>
  <c r="DC47" i="1"/>
  <c r="DD53" i="1"/>
  <c r="AB53" i="1"/>
  <c r="AB51" i="1" s="1" a="1"/>
  <c r="AB51" i="1" s="1"/>
  <c r="AB54" i="1" s="1"/>
  <c r="AA47" i="1"/>
  <c r="DB82" i="1" l="1"/>
  <c r="DC85" i="1"/>
  <c r="DC81" i="1" s="1"/>
  <c r="DD88" i="1" s="1"/>
  <c r="DD86" i="1" s="1" a="1"/>
  <c r="DD86" i="1" s="1"/>
  <c r="DD89" i="1" s="1"/>
  <c r="CD53" i="1"/>
  <c r="CD46" i="1" s="1"/>
  <c r="CC47" i="1"/>
  <c r="BC116" i="1"/>
  <c r="BC117" i="1" s="1"/>
  <c r="AC120" i="1"/>
  <c r="AC123" i="1"/>
  <c r="AC121" i="1" s="1" a="1"/>
  <c r="AC121" i="1" s="1"/>
  <c r="AC124" i="1" s="1"/>
  <c r="AC85" i="1"/>
  <c r="EA46" i="1"/>
  <c r="EB53" i="1" s="1"/>
  <c r="EB51" i="1" s="1" a="1"/>
  <c r="EB51" i="1" s="1"/>
  <c r="EB54" i="1" s="1"/>
  <c r="EB81" i="1"/>
  <c r="EB82" i="1" s="1"/>
  <c r="CD88" i="1"/>
  <c r="CD86" i="1" s="1" a="1"/>
  <c r="CD86" i="1" s="1"/>
  <c r="CD89" i="1" s="1"/>
  <c r="CC82" i="1"/>
  <c r="AC88" i="1"/>
  <c r="AC86" i="1" s="1" a="1"/>
  <c r="AC86" i="1" s="1"/>
  <c r="AC89" i="1" s="1"/>
  <c r="BC81" i="1"/>
  <c r="BC82" i="1" s="1"/>
  <c r="BC53" i="1"/>
  <c r="BB47" i="1"/>
  <c r="BC50" i="1"/>
  <c r="CC117" i="1"/>
  <c r="CD123" i="1"/>
  <c r="CD121" i="1" s="1" a="1"/>
  <c r="CD121" i="1" s="1"/>
  <c r="CD124" i="1" s="1"/>
  <c r="EA116" i="1"/>
  <c r="DC116" i="1"/>
  <c r="DD123" i="1" s="1"/>
  <c r="DD121" i="1" s="1" a="1"/>
  <c r="DD121" i="1" s="1"/>
  <c r="DD124" i="1" s="1"/>
  <c r="DD46" i="1"/>
  <c r="DD51" i="1" a="1"/>
  <c r="DD51" i="1" s="1"/>
  <c r="DD54" i="1" s="1"/>
  <c r="AB46" i="1"/>
  <c r="AB47" i="1" s="1"/>
  <c r="DD85" i="1" l="1"/>
  <c r="DD81" i="1" s="1"/>
  <c r="DC82" i="1"/>
  <c r="CD51" i="1" a="1"/>
  <c r="CD51" i="1" s="1"/>
  <c r="CD54" i="1" s="1"/>
  <c r="BD123" i="1"/>
  <c r="BD121" i="1" s="1" a="1"/>
  <c r="BD121" i="1" s="1"/>
  <c r="BD124" i="1" s="1"/>
  <c r="BD120" i="1"/>
  <c r="AC116" i="1"/>
  <c r="EB50" i="1"/>
  <c r="EB46" i="1" s="1"/>
  <c r="EA47" i="1"/>
  <c r="BD88" i="1"/>
  <c r="BD86" i="1" s="1" a="1"/>
  <c r="BD86" i="1" s="1"/>
  <c r="BD89" i="1" s="1"/>
  <c r="CD81" i="1"/>
  <c r="CE88" i="1" s="1"/>
  <c r="AC81" i="1"/>
  <c r="AC82" i="1" s="1"/>
  <c r="EC85" i="1"/>
  <c r="EC88" i="1"/>
  <c r="EC86" i="1" s="1" a="1"/>
  <c r="EC86" i="1" s="1"/>
  <c r="EC89" i="1" s="1"/>
  <c r="BD85" i="1"/>
  <c r="BC51" i="1" a="1"/>
  <c r="BC51" i="1" s="1"/>
  <c r="BC54" i="1" s="1"/>
  <c r="BC46" i="1"/>
  <c r="CD116" i="1"/>
  <c r="EB120" i="1"/>
  <c r="EA117" i="1"/>
  <c r="EB123" i="1"/>
  <c r="EB121" i="1" s="1" a="1"/>
  <c r="EB121" i="1" s="1"/>
  <c r="EB124" i="1" s="1"/>
  <c r="DD120" i="1"/>
  <c r="DD116" i="1" s="1"/>
  <c r="DE120" i="1" s="1"/>
  <c r="DC117" i="1"/>
  <c r="DD82" i="1"/>
  <c r="DE88" i="1"/>
  <c r="DE86" i="1" s="1" a="1"/>
  <c r="DE86" i="1" s="1"/>
  <c r="DE89" i="1" s="1"/>
  <c r="DE85" i="1"/>
  <c r="DE50" i="1"/>
  <c r="DD47" i="1"/>
  <c r="DE53" i="1"/>
  <c r="CE53" i="1"/>
  <c r="CD47" i="1"/>
  <c r="CE50" i="1"/>
  <c r="AC50" i="1"/>
  <c r="AC53" i="1"/>
  <c r="J63" i="1"/>
  <c r="BD116" i="1" l="1"/>
  <c r="BD117" i="1" s="1"/>
  <c r="AD120" i="1"/>
  <c r="AD123" i="1"/>
  <c r="AD121" i="1" s="1" a="1"/>
  <c r="AD121" i="1" s="1"/>
  <c r="AD124" i="1" s="1"/>
  <c r="AC117" i="1"/>
  <c r="CD82" i="1"/>
  <c r="CE85" i="1"/>
  <c r="CE81" i="1" s="1"/>
  <c r="BD81" i="1"/>
  <c r="BD82" i="1" s="1"/>
  <c r="AD88" i="1"/>
  <c r="AD86" i="1" s="1" a="1"/>
  <c r="AD86" i="1" s="1"/>
  <c r="AD89" i="1" s="1"/>
  <c r="AD85" i="1"/>
  <c r="EC81" i="1"/>
  <c r="EC82" i="1" s="1"/>
  <c r="BE123" i="1"/>
  <c r="BE121" i="1" s="1" a="1"/>
  <c r="BE121" i="1" s="1"/>
  <c r="BE124" i="1" s="1"/>
  <c r="DE123" i="1"/>
  <c r="DE121" i="1" s="1" a="1"/>
  <c r="DE121" i="1" s="1"/>
  <c r="DE124" i="1" s="1"/>
  <c r="BE120" i="1"/>
  <c r="CE86" i="1" a="1"/>
  <c r="CE86" i="1" s="1"/>
  <c r="CE89" i="1" s="1"/>
  <c r="BD53" i="1"/>
  <c r="BD50" i="1"/>
  <c r="BC47" i="1"/>
  <c r="CE120" i="1"/>
  <c r="CD117" i="1"/>
  <c r="CE123" i="1"/>
  <c r="EB116" i="1"/>
  <c r="DD117" i="1"/>
  <c r="DE81" i="1"/>
  <c r="AC46" i="1"/>
  <c r="AC47" i="1" s="1"/>
  <c r="CE46" i="1"/>
  <c r="CE51" i="1" a="1"/>
  <c r="CE51" i="1" s="1"/>
  <c r="CE54" i="1" s="1"/>
  <c r="DE51" i="1" a="1"/>
  <c r="DE51" i="1" s="1"/>
  <c r="DE54" i="1" s="1"/>
  <c r="DE46" i="1"/>
  <c r="EC53" i="1"/>
  <c r="EC51" i="1" s="1" a="1"/>
  <c r="EC51" i="1" s="1"/>
  <c r="EC54" i="1" s="1"/>
  <c r="EB47" i="1"/>
  <c r="EC50" i="1"/>
  <c r="AC51" i="1" a="1"/>
  <c r="AC51" i="1" s="1"/>
  <c r="AC54" i="1" s="1"/>
  <c r="AD116" i="1" l="1"/>
  <c r="AE120" i="1" s="1"/>
  <c r="BE116" i="1"/>
  <c r="BF120" i="1" s="1"/>
  <c r="BE88" i="1"/>
  <c r="BE86" i="1" s="1" a="1"/>
  <c r="BE86" i="1" s="1"/>
  <c r="BE89" i="1" s="1"/>
  <c r="BE85" i="1"/>
  <c r="ED85" i="1"/>
  <c r="AD81" i="1"/>
  <c r="AE88" i="1" s="1"/>
  <c r="ED88" i="1"/>
  <c r="ED86" i="1" s="1" a="1"/>
  <c r="ED86" i="1" s="1"/>
  <c r="ED89" i="1" s="1"/>
  <c r="DE116" i="1"/>
  <c r="DF120" i="1" s="1"/>
  <c r="CE82" i="1"/>
  <c r="CF85" i="1"/>
  <c r="CF88" i="1"/>
  <c r="BD46" i="1"/>
  <c r="BD51" i="1" a="1"/>
  <c r="BD51" i="1" s="1"/>
  <c r="BD54" i="1" s="1"/>
  <c r="CE121" i="1" a="1"/>
  <c r="CE121" i="1" s="1"/>
  <c r="CE124" i="1" s="1"/>
  <c r="CE116" i="1"/>
  <c r="EB117" i="1"/>
  <c r="EC123" i="1"/>
  <c r="EC121" i="1" s="1" a="1"/>
  <c r="EC121" i="1" s="1"/>
  <c r="EC124" i="1" s="1"/>
  <c r="EC120" i="1"/>
  <c r="EC46" i="1"/>
  <c r="EC47" i="1" s="1"/>
  <c r="AD50" i="1"/>
  <c r="AD53" i="1"/>
  <c r="AD51" i="1" s="1" a="1"/>
  <c r="AD51" i="1" s="1"/>
  <c r="AD54" i="1" s="1"/>
  <c r="DF88" i="1"/>
  <c r="DF86" i="1" s="1" a="1"/>
  <c r="DF86" i="1" s="1"/>
  <c r="DF89" i="1" s="1"/>
  <c r="DF85" i="1"/>
  <c r="DE82" i="1"/>
  <c r="DE47" i="1"/>
  <c r="DF50" i="1"/>
  <c r="DF53" i="1"/>
  <c r="CF50" i="1"/>
  <c r="CF53" i="1"/>
  <c r="CE47" i="1"/>
  <c r="AE123" i="1" l="1"/>
  <c r="AE121" i="1" s="1" a="1"/>
  <c r="AE121" i="1" s="1"/>
  <c r="AE124" i="1" s="1"/>
  <c r="AE85" i="1"/>
  <c r="AE81" i="1" s="1"/>
  <c r="AD82" i="1"/>
  <c r="BE81" i="1"/>
  <c r="BE82" i="1" s="1"/>
  <c r="AD117" i="1"/>
  <c r="BE117" i="1"/>
  <c r="BF123" i="1"/>
  <c r="BF116" i="1" s="1"/>
  <c r="BG120" i="1" s="1"/>
  <c r="DF123" i="1"/>
  <c r="DF121" i="1" s="1" a="1"/>
  <c r="DF121" i="1" s="1"/>
  <c r="DF124" i="1" s="1"/>
  <c r="DE117" i="1"/>
  <c r="ED81" i="1"/>
  <c r="ED82" i="1" s="1"/>
  <c r="ED53" i="1"/>
  <c r="ED51" i="1" s="1" a="1"/>
  <c r="ED51" i="1" s="1"/>
  <c r="ED54" i="1" s="1"/>
  <c r="CF86" i="1" a="1"/>
  <c r="CF86" i="1" s="1"/>
  <c r="CF89" i="1" s="1"/>
  <c r="CF81" i="1"/>
  <c r="BE53" i="1"/>
  <c r="BE50" i="1"/>
  <c r="BD47" i="1"/>
  <c r="CE117" i="1"/>
  <c r="CF120" i="1"/>
  <c r="CF123" i="1"/>
  <c r="ED50" i="1"/>
  <c r="AE86" i="1" a="1"/>
  <c r="AE86" i="1" s="1"/>
  <c r="AE89" i="1" s="1"/>
  <c r="EC116" i="1"/>
  <c r="AD46" i="1"/>
  <c r="AE53" i="1" s="1"/>
  <c r="DF81" i="1"/>
  <c r="DG88" i="1" s="1"/>
  <c r="DG86" i="1" s="1" a="1"/>
  <c r="DG86" i="1" s="1"/>
  <c r="DG89" i="1" s="1"/>
  <c r="DF51" i="1" a="1"/>
  <c r="DF51" i="1" s="1"/>
  <c r="DF54" i="1" s="1"/>
  <c r="DF46" i="1"/>
  <c r="CF46" i="1"/>
  <c r="CF51" i="1" a="1"/>
  <c r="CF51" i="1" s="1"/>
  <c r="CF54" i="1" s="1"/>
  <c r="BF85" i="1" l="1"/>
  <c r="BF88" i="1"/>
  <c r="BF86" i="1" s="1" a="1"/>
  <c r="BF86" i="1" s="1"/>
  <c r="BF89" i="1" s="1"/>
  <c r="AE116" i="1"/>
  <c r="AF120" i="1" s="1"/>
  <c r="BG123" i="1"/>
  <c r="BG121" i="1" s="1" a="1"/>
  <c r="BG121" i="1" s="1"/>
  <c r="BG124" i="1" s="1"/>
  <c r="BF117" i="1"/>
  <c r="BF121" i="1" a="1"/>
  <c r="BF121" i="1" s="1"/>
  <c r="BF124" i="1" s="1"/>
  <c r="DF116" i="1"/>
  <c r="DF117" i="1" s="1"/>
  <c r="EE88" i="1"/>
  <c r="EE86" i="1" s="1" a="1"/>
  <c r="EE86" i="1" s="1"/>
  <c r="EE89" i="1" s="1"/>
  <c r="EE85" i="1"/>
  <c r="ED46" i="1"/>
  <c r="ED47" i="1" s="1"/>
  <c r="CF82" i="1"/>
  <c r="CG85" i="1"/>
  <c r="CG88" i="1"/>
  <c r="AE50" i="1"/>
  <c r="AE46" i="1" s="1"/>
  <c r="BE46" i="1"/>
  <c r="BE51" i="1" a="1"/>
  <c r="BE51" i="1" s="1"/>
  <c r="BE54" i="1" s="1"/>
  <c r="CF121" i="1" a="1"/>
  <c r="CF121" i="1" s="1"/>
  <c r="CF124" i="1" s="1"/>
  <c r="CF116" i="1"/>
  <c r="AD47" i="1"/>
  <c r="ED123" i="1"/>
  <c r="ED121" i="1" s="1" a="1"/>
  <c r="ED121" i="1" s="1"/>
  <c r="ED124" i="1" s="1"/>
  <c r="EC117" i="1"/>
  <c r="ED120" i="1"/>
  <c r="DG85" i="1"/>
  <c r="DG81" i="1" s="1"/>
  <c r="DH85" i="1" s="1"/>
  <c r="AE82" i="1"/>
  <c r="AF85" i="1"/>
  <c r="AF88" i="1"/>
  <c r="DF82" i="1"/>
  <c r="CF47" i="1"/>
  <c r="CG53" i="1"/>
  <c r="CG50" i="1"/>
  <c r="DF47" i="1"/>
  <c r="DG50" i="1"/>
  <c r="DG53" i="1"/>
  <c r="AE51" i="1" a="1"/>
  <c r="AE51" i="1" s="1"/>
  <c r="AE54" i="1" s="1"/>
  <c r="BT93" i="1"/>
  <c r="S66" i="2" s="1"/>
  <c r="BF81" i="1" l="1"/>
  <c r="BG88" i="1" s="1"/>
  <c r="AE117" i="1"/>
  <c r="AF123" i="1"/>
  <c r="AF121" i="1" s="1" a="1"/>
  <c r="AF121" i="1" s="1"/>
  <c r="AF124" i="1" s="1"/>
  <c r="BG116" i="1"/>
  <c r="BG117" i="1" s="1"/>
  <c r="DG120" i="1"/>
  <c r="EE53" i="1"/>
  <c r="EE51" i="1" s="1" a="1"/>
  <c r="EE51" i="1" s="1"/>
  <c r="EE54" i="1" s="1"/>
  <c r="DG123" i="1"/>
  <c r="DG121" i="1" s="1" a="1"/>
  <c r="DG121" i="1" s="1"/>
  <c r="DG124" i="1" s="1"/>
  <c r="EE81" i="1"/>
  <c r="EE82" i="1" s="1"/>
  <c r="EE50" i="1"/>
  <c r="CG86" i="1" a="1"/>
  <c r="CG86" i="1" s="1"/>
  <c r="CG89" i="1" s="1"/>
  <c r="CG81" i="1"/>
  <c r="BE47" i="1"/>
  <c r="BF53" i="1"/>
  <c r="BF50" i="1"/>
  <c r="CF117" i="1"/>
  <c r="CG123" i="1"/>
  <c r="CG120" i="1"/>
  <c r="ED116" i="1"/>
  <c r="AF86" i="1" a="1"/>
  <c r="AF86" i="1" s="1"/>
  <c r="AF89" i="1" s="1"/>
  <c r="AF81" i="1"/>
  <c r="DH88" i="1"/>
  <c r="DH86" i="1" s="1" a="1"/>
  <c r="DH86" i="1" s="1"/>
  <c r="DH89" i="1" s="1"/>
  <c r="DG82" i="1"/>
  <c r="DG51" i="1" a="1"/>
  <c r="DG51" i="1" s="1"/>
  <c r="DG54" i="1" s="1"/>
  <c r="DG46" i="1"/>
  <c r="CG46" i="1"/>
  <c r="CG51" i="1" a="1"/>
  <c r="CG51" i="1" s="1"/>
  <c r="CG54" i="1" s="1"/>
  <c r="AF53" i="1"/>
  <c r="AF50" i="1"/>
  <c r="AE47" i="1"/>
  <c r="BF82" i="1" l="1"/>
  <c r="BG85" i="1"/>
  <c r="AF116" i="1"/>
  <c r="AG120" i="1" s="1"/>
  <c r="BH120" i="1"/>
  <c r="BH123" i="1"/>
  <c r="BH121" i="1" s="1" a="1"/>
  <c r="BH121" i="1" s="1"/>
  <c r="BH124" i="1" s="1"/>
  <c r="EE46" i="1"/>
  <c r="EF50" i="1" s="1"/>
  <c r="DG116" i="1"/>
  <c r="DH123" i="1" s="1"/>
  <c r="DH121" i="1" s="1" a="1"/>
  <c r="DH121" i="1" s="1"/>
  <c r="DH124" i="1" s="1"/>
  <c r="EF88" i="1"/>
  <c r="EF86" i="1" s="1" a="1"/>
  <c r="EF86" i="1" s="1"/>
  <c r="EF89" i="1" s="1"/>
  <c r="EF85" i="1"/>
  <c r="CG82" i="1"/>
  <c r="CH88" i="1"/>
  <c r="CH85" i="1"/>
  <c r="BF51" i="1" a="1"/>
  <c r="BF51" i="1" s="1"/>
  <c r="BF54" i="1" s="1"/>
  <c r="BF46" i="1"/>
  <c r="BG86" i="1" a="1"/>
  <c r="BG86" i="1" s="1"/>
  <c r="BG89" i="1" s="1"/>
  <c r="BG81" i="1"/>
  <c r="CG121" i="1" a="1"/>
  <c r="CG121" i="1" s="1"/>
  <c r="CG124" i="1" s="1"/>
  <c r="CG116" i="1"/>
  <c r="AG88" i="1"/>
  <c r="AG85" i="1"/>
  <c r="AF82" i="1"/>
  <c r="ED117" i="1"/>
  <c r="EE120" i="1"/>
  <c r="EE123" i="1"/>
  <c r="EE121" i="1" s="1" a="1"/>
  <c r="EE121" i="1" s="1"/>
  <c r="EE124" i="1" s="1"/>
  <c r="DH81" i="1"/>
  <c r="CG47" i="1"/>
  <c r="CH53" i="1"/>
  <c r="CH50" i="1"/>
  <c r="EF53" i="1"/>
  <c r="DH50" i="1"/>
  <c r="DH53" i="1"/>
  <c r="DG47" i="1"/>
  <c r="AF46" i="1"/>
  <c r="AF51" i="1" a="1"/>
  <c r="AF51" i="1" s="1"/>
  <c r="AF54" i="1" s="1"/>
  <c r="EE47" i="1" l="1"/>
  <c r="AG123" i="1"/>
  <c r="AG121" i="1" s="1" a="1"/>
  <c r="AG121" i="1" s="1"/>
  <c r="AG124" i="1" s="1"/>
  <c r="AF117" i="1"/>
  <c r="BH116" i="1"/>
  <c r="BI120" i="1" s="1"/>
  <c r="DH120" i="1"/>
  <c r="DH116" i="1" s="1"/>
  <c r="DI123" i="1" s="1"/>
  <c r="DI121" i="1" s="1" a="1"/>
  <c r="DI121" i="1" s="1"/>
  <c r="DI124" i="1" s="1"/>
  <c r="DG117" i="1"/>
  <c r="EF81" i="1"/>
  <c r="EF82" i="1" s="1"/>
  <c r="CH86" i="1" a="1"/>
  <c r="CH86" i="1" s="1"/>
  <c r="CH89" i="1" s="1"/>
  <c r="CH81" i="1"/>
  <c r="BG50" i="1"/>
  <c r="BF47" i="1"/>
  <c r="BG53" i="1"/>
  <c r="CH120" i="1"/>
  <c r="CG117" i="1"/>
  <c r="CH123" i="1"/>
  <c r="BG82" i="1"/>
  <c r="BH88" i="1"/>
  <c r="BH85" i="1"/>
  <c r="EE116" i="1"/>
  <c r="EF120" i="1" s="1"/>
  <c r="AG86" i="1" a="1"/>
  <c r="AG86" i="1" s="1"/>
  <c r="AG89" i="1" s="1"/>
  <c r="AG81" i="1"/>
  <c r="DH82" i="1"/>
  <c r="DI85" i="1"/>
  <c r="DI88" i="1"/>
  <c r="DI86" i="1" s="1" a="1"/>
  <c r="DI86" i="1" s="1"/>
  <c r="DI89" i="1" s="1"/>
  <c r="EF46" i="1"/>
  <c r="EF51" i="1" a="1"/>
  <c r="EF51" i="1" s="1"/>
  <c r="EF54" i="1" s="1"/>
  <c r="DH51" i="1" a="1"/>
  <c r="DH51" i="1" s="1"/>
  <c r="DH54" i="1" s="1"/>
  <c r="DH46" i="1"/>
  <c r="CH46" i="1"/>
  <c r="CH51" i="1" a="1"/>
  <c r="CH51" i="1" s="1"/>
  <c r="CH54" i="1" s="1"/>
  <c r="AG53" i="1"/>
  <c r="AG50" i="1"/>
  <c r="AF47" i="1"/>
  <c r="BH117" i="1" l="1"/>
  <c r="BI123" i="1"/>
  <c r="BI121" i="1" s="1" a="1"/>
  <c r="BI121" i="1" s="1"/>
  <c r="BI124" i="1" s="1"/>
  <c r="AG116" i="1"/>
  <c r="AH123" i="1" s="1"/>
  <c r="AH121" i="1" s="1" a="1"/>
  <c r="AH121" i="1" s="1"/>
  <c r="AH124" i="1" s="1"/>
  <c r="DI120" i="1"/>
  <c r="DI116" i="1" s="1"/>
  <c r="DI117" i="1" s="1"/>
  <c r="DH117" i="1"/>
  <c r="EG85" i="1"/>
  <c r="EG88" i="1"/>
  <c r="EG86" i="1" s="1" a="1"/>
  <c r="EG86" i="1" s="1"/>
  <c r="EG89" i="1" s="1"/>
  <c r="CI88" i="1"/>
  <c r="CI85" i="1"/>
  <c r="CH82" i="1"/>
  <c r="BG46" i="1"/>
  <c r="BG51" i="1" a="1"/>
  <c r="BG51" i="1" s="1"/>
  <c r="BG54" i="1" s="1"/>
  <c r="BH86" i="1" a="1"/>
  <c r="BH86" i="1" s="1"/>
  <c r="BH89" i="1" s="1"/>
  <c r="BH81" i="1"/>
  <c r="CH121" i="1" a="1"/>
  <c r="CH121" i="1" s="1"/>
  <c r="CH124" i="1" s="1"/>
  <c r="CH116" i="1"/>
  <c r="EF123" i="1"/>
  <c r="EF121" i="1" s="1" a="1"/>
  <c r="EF121" i="1" s="1"/>
  <c r="EF124" i="1" s="1"/>
  <c r="EE117" i="1"/>
  <c r="AG82" i="1"/>
  <c r="AH85" i="1"/>
  <c r="AH88" i="1"/>
  <c r="DI81" i="1"/>
  <c r="BY92" i="1"/>
  <c r="BY94" i="1" s="1"/>
  <c r="DH47" i="1"/>
  <c r="DI50" i="1"/>
  <c r="DI53" i="1"/>
  <c r="CH47" i="1"/>
  <c r="CI53" i="1"/>
  <c r="CI50" i="1"/>
  <c r="EF47" i="1"/>
  <c r="EG53" i="1"/>
  <c r="EG50" i="1"/>
  <c r="AG46" i="1"/>
  <c r="AG51" i="1" a="1"/>
  <c r="AG51" i="1" s="1"/>
  <c r="AG54" i="1" s="1"/>
  <c r="BI116" i="1" l="1"/>
  <c r="AH120" i="1"/>
  <c r="AH116" i="1" s="1"/>
  <c r="AI123" i="1" s="1"/>
  <c r="AI121" i="1" s="1" a="1"/>
  <c r="AI121" i="1" s="1"/>
  <c r="AI124" i="1" s="1"/>
  <c r="AG117" i="1"/>
  <c r="DJ120" i="1"/>
  <c r="DJ123" i="1"/>
  <c r="DJ121" i="1" s="1" a="1"/>
  <c r="DJ121" i="1" s="1"/>
  <c r="DJ124" i="1" s="1"/>
  <c r="EG81" i="1"/>
  <c r="EH85" i="1" s="1"/>
  <c r="CI86" i="1" a="1"/>
  <c r="CI86" i="1" s="1"/>
  <c r="CI89" i="1" s="1"/>
  <c r="CI81" i="1"/>
  <c r="BH53" i="1"/>
  <c r="BH50" i="1"/>
  <c r="BG47" i="1"/>
  <c r="EF116" i="1"/>
  <c r="EG120" i="1" s="1"/>
  <c r="CH117" i="1"/>
  <c r="CI123" i="1"/>
  <c r="CI120" i="1"/>
  <c r="BI88" i="1"/>
  <c r="BI85" i="1"/>
  <c r="BH82" i="1"/>
  <c r="AH86" i="1" a="1"/>
  <c r="AH86" i="1" s="1"/>
  <c r="AH89" i="1" s="1"/>
  <c r="AH81" i="1"/>
  <c r="BJ123" i="1"/>
  <c r="BJ120" i="1"/>
  <c r="BI117" i="1"/>
  <c r="DJ85" i="1"/>
  <c r="DJ88" i="1"/>
  <c r="DI82" i="1"/>
  <c r="CI46" i="1"/>
  <c r="CI51" i="1" a="1"/>
  <c r="CI51" i="1" s="1"/>
  <c r="CI54" i="1" s="1"/>
  <c r="DI51" i="1" a="1"/>
  <c r="DI51" i="1" s="1"/>
  <c r="DI54" i="1" s="1"/>
  <c r="DI46" i="1"/>
  <c r="EG51" i="1" a="1"/>
  <c r="EG51" i="1" s="1"/>
  <c r="EG54" i="1" s="1"/>
  <c r="EG46" i="1"/>
  <c r="AG47" i="1"/>
  <c r="AH50" i="1"/>
  <c r="AH53" i="1"/>
  <c r="DJ116" i="1" l="1"/>
  <c r="DJ117" i="1" s="1"/>
  <c r="AH117" i="1"/>
  <c r="AI120" i="1"/>
  <c r="AI116" i="1" s="1"/>
  <c r="AJ120" i="1" s="1"/>
  <c r="EG82" i="1"/>
  <c r="EH88" i="1"/>
  <c r="EH86" i="1" s="1" a="1"/>
  <c r="EH86" i="1" s="1"/>
  <c r="EH89" i="1" s="1"/>
  <c r="CJ88" i="1"/>
  <c r="CJ85" i="1"/>
  <c r="CI82" i="1"/>
  <c r="BH46" i="1"/>
  <c r="BH51" i="1" a="1"/>
  <c r="BH51" i="1" s="1"/>
  <c r="BH54" i="1" s="1"/>
  <c r="BI86" i="1" a="1"/>
  <c r="BI86" i="1" s="1"/>
  <c r="BI89" i="1" s="1"/>
  <c r="BI81" i="1"/>
  <c r="CI121" i="1" a="1"/>
  <c r="CI121" i="1" s="1"/>
  <c r="CI124" i="1" s="1"/>
  <c r="CI116" i="1"/>
  <c r="EG123" i="1"/>
  <c r="EF117" i="1"/>
  <c r="AI88" i="1"/>
  <c r="AH82" i="1"/>
  <c r="AI85" i="1"/>
  <c r="DJ86" i="1" a="1"/>
  <c r="DJ86" i="1" s="1"/>
  <c r="DJ89" i="1" s="1"/>
  <c r="DJ81" i="1"/>
  <c r="BJ116" i="1"/>
  <c r="BJ121" i="1" a="1"/>
  <c r="BJ121" i="1" s="1"/>
  <c r="BJ124" i="1" s="1"/>
  <c r="DJ50" i="1"/>
  <c r="DJ53" i="1"/>
  <c r="DI47" i="1"/>
  <c r="EH53" i="1"/>
  <c r="EH50" i="1"/>
  <c r="EG47" i="1"/>
  <c r="CI47" i="1"/>
  <c r="CJ50" i="1"/>
  <c r="CJ53" i="1"/>
  <c r="CT93" i="1"/>
  <c r="T66" i="2" s="1"/>
  <c r="AH51" i="1" a="1"/>
  <c r="AH51" i="1" s="1"/>
  <c r="AH54" i="1" s="1"/>
  <c r="AH46" i="1"/>
  <c r="DK123" i="1" l="1"/>
  <c r="DK121" i="1" s="1" a="1"/>
  <c r="DK121" i="1" s="1"/>
  <c r="DK124" i="1" s="1"/>
  <c r="DK120" i="1"/>
  <c r="AI117" i="1"/>
  <c r="AJ123" i="1"/>
  <c r="AJ121" i="1" s="1" a="1"/>
  <c r="AJ121" i="1" s="1"/>
  <c r="AJ124" i="1" s="1"/>
  <c r="EH81" i="1"/>
  <c r="EI85" i="1" s="1"/>
  <c r="CJ86" i="1" a="1"/>
  <c r="CJ86" i="1" s="1"/>
  <c r="CJ89" i="1" s="1"/>
  <c r="CJ81" i="1"/>
  <c r="BH47" i="1"/>
  <c r="BI50" i="1"/>
  <c r="BI53" i="1"/>
  <c r="EG121" i="1" a="1"/>
  <c r="EG121" i="1" s="1"/>
  <c r="EG124" i="1" s="1"/>
  <c r="EG116" i="1"/>
  <c r="CJ123" i="1"/>
  <c r="CJ121" i="1" s="1" a="1"/>
  <c r="CJ121" i="1" s="1"/>
  <c r="CJ124" i="1" s="1"/>
  <c r="BY100" i="1" s="1"/>
  <c r="BY101" i="1" s="1"/>
  <c r="CI117" i="1"/>
  <c r="CJ120" i="1"/>
  <c r="BJ85" i="1"/>
  <c r="BJ88" i="1"/>
  <c r="BI82" i="1"/>
  <c r="AI86" i="1" a="1"/>
  <c r="AI86" i="1" s="1"/>
  <c r="AI89" i="1" s="1"/>
  <c r="AI81" i="1"/>
  <c r="DK88" i="1"/>
  <c r="DJ82" i="1"/>
  <c r="DK85" i="1"/>
  <c r="BK120" i="1"/>
  <c r="BJ117" i="1"/>
  <c r="BK123" i="1"/>
  <c r="EH46" i="1"/>
  <c r="EH51" i="1" a="1"/>
  <c r="EH51" i="1" s="1"/>
  <c r="EH54" i="1" s="1"/>
  <c r="DJ46" i="1"/>
  <c r="DJ51" i="1" a="1"/>
  <c r="DJ51" i="1" s="1"/>
  <c r="DJ54" i="1" s="1"/>
  <c r="CJ51" i="1" a="1"/>
  <c r="CJ51" i="1" s="1"/>
  <c r="CJ54" i="1" s="1"/>
  <c r="CJ46" i="1"/>
  <c r="AH47" i="1"/>
  <c r="AI50" i="1"/>
  <c r="AI53" i="1"/>
  <c r="CY58" i="1"/>
  <c r="T38" i="2" s="1"/>
  <c r="DK116" i="1" l="1"/>
  <c r="DK117" i="1" s="1"/>
  <c r="AJ116" i="1"/>
  <c r="AK120" i="1" s="1"/>
  <c r="EI88" i="1"/>
  <c r="EI86" i="1" s="1" a="1"/>
  <c r="EI86" i="1" s="1"/>
  <c r="EI89" i="1" s="1"/>
  <c r="EH82" i="1"/>
  <c r="S65" i="2"/>
  <c r="S64" i="2" s="1"/>
  <c r="S68" i="2" s="1"/>
  <c r="S71" i="2"/>
  <c r="S70" i="2"/>
  <c r="CJ82" i="1"/>
  <c r="CK88" i="1"/>
  <c r="CK85" i="1"/>
  <c r="BI46" i="1"/>
  <c r="BI51" i="1" a="1"/>
  <c r="BI51" i="1" s="1"/>
  <c r="BI54" i="1" s="1"/>
  <c r="CJ116" i="1"/>
  <c r="CK120" i="1" s="1"/>
  <c r="BJ86" i="1" a="1"/>
  <c r="BJ86" i="1" s="1"/>
  <c r="BJ89" i="1" s="1"/>
  <c r="BJ81" i="1"/>
  <c r="EH120" i="1"/>
  <c r="EG117" i="1"/>
  <c r="EH123" i="1"/>
  <c r="AI82" i="1"/>
  <c r="AJ88" i="1"/>
  <c r="AJ85" i="1"/>
  <c r="BK116" i="1"/>
  <c r="BK117" i="1" s="1"/>
  <c r="BK121" i="1" a="1"/>
  <c r="BK121" i="1" s="1"/>
  <c r="BK124" i="1" s="1"/>
  <c r="DK86" i="1" a="1"/>
  <c r="DK86" i="1" s="1"/>
  <c r="DK89" i="1" s="1"/>
  <c r="DK81" i="1"/>
  <c r="DK82" i="1" s="1"/>
  <c r="CK50" i="1"/>
  <c r="CJ47" i="1"/>
  <c r="CK53" i="1"/>
  <c r="DJ47" i="1"/>
  <c r="DK53" i="1"/>
  <c r="DK50" i="1"/>
  <c r="EH47" i="1"/>
  <c r="EI53" i="1"/>
  <c r="EI50" i="1"/>
  <c r="AI51" i="1" a="1"/>
  <c r="AI51" i="1" s="1"/>
  <c r="AI54" i="1" s="1"/>
  <c r="AI46" i="1"/>
  <c r="DT93" i="1"/>
  <c r="U66" i="2" s="1"/>
  <c r="AJ117" i="1" l="1"/>
  <c r="AK123" i="1"/>
  <c r="AK116" i="1" s="1"/>
  <c r="AK117" i="1" s="1"/>
  <c r="EI81" i="1"/>
  <c r="EI82" i="1" s="1"/>
  <c r="S69" i="2"/>
  <c r="S72" i="2" s="1"/>
  <c r="S73" i="2" s="1"/>
  <c r="S74" i="2" s="1"/>
  <c r="S75" i="2" s="1"/>
  <c r="S78" i="2" s="1"/>
  <c r="CK123" i="1"/>
  <c r="CK121" i="1" s="1" a="1"/>
  <c r="CK121" i="1" s="1"/>
  <c r="CK124" i="1" s="1"/>
  <c r="BY99" i="1" s="1"/>
  <c r="S81" i="2"/>
  <c r="CJ117" i="1"/>
  <c r="CK81" i="1"/>
  <c r="CK82" i="1" s="1"/>
  <c r="CK86" i="1" a="1"/>
  <c r="CK86" i="1" s="1"/>
  <c r="CK89" i="1" s="1"/>
  <c r="BJ50" i="1"/>
  <c r="BI47" i="1"/>
  <c r="BJ53" i="1"/>
  <c r="EH121" i="1" a="1"/>
  <c r="EH121" i="1" s="1"/>
  <c r="EH124" i="1" s="1"/>
  <c r="EH116" i="1"/>
  <c r="BJ82" i="1"/>
  <c r="BK85" i="1"/>
  <c r="BK88" i="1"/>
  <c r="AJ81" i="1"/>
  <c r="AJ86" i="1" a="1"/>
  <c r="AJ86" i="1" s="1"/>
  <c r="AJ89" i="1" s="1"/>
  <c r="DK51" i="1" a="1"/>
  <c r="DK51" i="1" s="1"/>
  <c r="DK54" i="1" s="1"/>
  <c r="DK46" i="1"/>
  <c r="DK47" i="1" s="1"/>
  <c r="CK46" i="1"/>
  <c r="CK47" i="1" s="1"/>
  <c r="CK51" i="1" a="1"/>
  <c r="CK51" i="1" s="1"/>
  <c r="CK54" i="1" s="1"/>
  <c r="EI46" i="1"/>
  <c r="EI51" i="1" a="1"/>
  <c r="EI51" i="1" s="1"/>
  <c r="EI54" i="1" s="1"/>
  <c r="J111" i="1"/>
  <c r="Q66" i="2" s="1"/>
  <c r="AI47" i="1"/>
  <c r="AJ50" i="1"/>
  <c r="AT93" i="1"/>
  <c r="R66" i="2" s="1"/>
  <c r="DY58" i="1"/>
  <c r="U38" i="2" s="1"/>
  <c r="EJ88" i="1" l="1"/>
  <c r="EJ86" i="1" s="1" a="1"/>
  <c r="EJ86" i="1" s="1"/>
  <c r="EJ89" i="1" s="1"/>
  <c r="AK121" i="1" a="1"/>
  <c r="AK121" i="1" s="1"/>
  <c r="EJ85" i="1"/>
  <c r="CK116" i="1"/>
  <c r="CK117" i="1" s="1"/>
  <c r="BJ51" i="1" a="1"/>
  <c r="BJ51" i="1" s="1"/>
  <c r="BJ54" i="1" s="1"/>
  <c r="BJ46" i="1"/>
  <c r="BK86" i="1" a="1"/>
  <c r="BK86" i="1" s="1"/>
  <c r="BK89" i="1" s="1"/>
  <c r="BK81" i="1"/>
  <c r="BK82" i="1" s="1"/>
  <c r="EI123" i="1"/>
  <c r="EI120" i="1"/>
  <c r="EH117" i="1"/>
  <c r="AJ82" i="1"/>
  <c r="AK88" i="1"/>
  <c r="AK85" i="1"/>
  <c r="EI47" i="1"/>
  <c r="EJ50" i="1"/>
  <c r="EJ53" i="1"/>
  <c r="AT58" i="1"/>
  <c r="R37" i="2" s="1"/>
  <c r="EJ81" i="1" l="1"/>
  <c r="EJ82" i="1" s="1"/>
  <c r="BJ47" i="1"/>
  <c r="BK50" i="1"/>
  <c r="BK53" i="1"/>
  <c r="EI121" i="1" a="1"/>
  <c r="EI121" i="1" s="1"/>
  <c r="EI124" i="1" s="1"/>
  <c r="EI116" i="1"/>
  <c r="AK81" i="1"/>
  <c r="AK82" i="1" s="1"/>
  <c r="AK86" i="1" a="1"/>
  <c r="AK86" i="1" s="1"/>
  <c r="EJ46" i="1"/>
  <c r="EJ51" i="1" a="1"/>
  <c r="EJ51" i="1" s="1"/>
  <c r="EJ54" i="1" s="1"/>
  <c r="CY92" i="1"/>
  <c r="CY94" i="1" s="1"/>
  <c r="E119" i="1"/>
  <c r="CY22" i="1"/>
  <c r="DT58" i="1"/>
  <c r="U37" i="2" s="1"/>
  <c r="BY58" i="1"/>
  <c r="S38" i="2" s="1"/>
  <c r="EK85" i="1" l="1"/>
  <c r="EK88" i="1"/>
  <c r="EK86" i="1" s="1" a="1"/>
  <c r="EK86" i="1" s="1"/>
  <c r="EK89" i="1" s="1"/>
  <c r="BK46" i="1"/>
  <c r="BK47" i="1" s="1"/>
  <c r="BK51" i="1" a="1"/>
  <c r="BK51" i="1" s="1"/>
  <c r="BK54" i="1" s="1"/>
  <c r="EJ120" i="1"/>
  <c r="EJ123" i="1"/>
  <c r="EI117" i="1"/>
  <c r="EK53" i="1"/>
  <c r="EK50" i="1"/>
  <c r="EJ47" i="1"/>
  <c r="DY92" i="1"/>
  <c r="DY94" i="1" s="1"/>
  <c r="CT58" i="1"/>
  <c r="T37" i="2" s="1"/>
  <c r="EK81" i="1" l="1"/>
  <c r="EK82" i="1" s="1"/>
  <c r="EJ121" i="1" a="1"/>
  <c r="EJ121" i="1" s="1"/>
  <c r="EJ124" i="1" s="1"/>
  <c r="EJ116" i="1"/>
  <c r="EK51" i="1" a="1"/>
  <c r="EK51" i="1" s="1"/>
  <c r="EK54" i="1" s="1"/>
  <c r="EK46" i="1"/>
  <c r="EK47" i="1" s="1"/>
  <c r="AY100" i="1"/>
  <c r="AY101" i="1" s="1"/>
  <c r="J97" i="1"/>
  <c r="J99" i="1" s="1"/>
  <c r="E76" i="2" s="1"/>
  <c r="E77" i="2" s="1"/>
  <c r="AY22" i="1"/>
  <c r="BT58" i="1"/>
  <c r="S37" i="2" s="1"/>
  <c r="EK123" i="1" l="1"/>
  <c r="EJ117" i="1"/>
  <c r="EK120" i="1"/>
  <c r="R71" i="2"/>
  <c r="R70" i="2"/>
  <c r="R65" i="2"/>
  <c r="R64" i="2" s="1"/>
  <c r="R68" i="2" s="1"/>
  <c r="E83" i="2"/>
  <c r="E81" i="2" s="1"/>
  <c r="E86" i="2" s="1"/>
  <c r="Q67" i="2"/>
  <c r="CY99" i="1"/>
  <c r="CY100" i="1"/>
  <c r="CY101" i="1" s="1"/>
  <c r="AY92" i="1"/>
  <c r="AY94" i="1" s="1"/>
  <c r="E120" i="1"/>
  <c r="E121" i="1" s="1"/>
  <c r="BY22" i="1"/>
  <c r="EY99" i="1"/>
  <c r="EY100" i="1" s="1"/>
  <c r="R69" i="2" l="1"/>
  <c r="R72" i="2" s="1"/>
  <c r="R73" i="2" s="1"/>
  <c r="R74" i="2" s="1"/>
  <c r="R75" i="2" s="1"/>
  <c r="R78" i="2" s="1"/>
  <c r="EK121" i="1" a="1"/>
  <c r="EK121" i="1" s="1"/>
  <c r="EK124" i="1" s="1"/>
  <c r="EK116" i="1"/>
  <c r="EK117" i="1" s="1"/>
  <c r="T71" i="2"/>
  <c r="T70" i="2"/>
  <c r="T65" i="2"/>
  <c r="T64" i="2" s="1"/>
  <c r="T68" i="2" s="1"/>
  <c r="E87" i="2"/>
  <c r="R81" i="2"/>
  <c r="Q71" i="2"/>
  <c r="Q70" i="2"/>
  <c r="AY99" i="1"/>
  <c r="DY22" i="1"/>
  <c r="EY29" i="1"/>
  <c r="EY102" i="1"/>
  <c r="EY101" i="1"/>
  <c r="DY29" i="1"/>
  <c r="AY57" i="1"/>
  <c r="Q69" i="2" l="1"/>
  <c r="T69" i="2"/>
  <c r="T72" i="2" s="1"/>
  <c r="T73" i="2" s="1"/>
  <c r="T74" i="2" s="1"/>
  <c r="T75" i="2" s="1"/>
  <c r="T78" i="2" s="1"/>
  <c r="DY99" i="1"/>
  <c r="DY100" i="1"/>
  <c r="DY101" i="1" s="1"/>
  <c r="T81" i="2"/>
  <c r="AY59" i="1"/>
  <c r="U70" i="2" l="1"/>
  <c r="U65" i="2"/>
  <c r="U64" i="2" s="1"/>
  <c r="U68" i="2" s="1"/>
  <c r="U81" i="2" s="1"/>
  <c r="U71" i="2"/>
  <c r="AY64" i="1"/>
  <c r="AY65" i="1"/>
  <c r="AY66" i="1" s="1"/>
  <c r="DY57" i="1"/>
  <c r="DY59" i="1" s="1"/>
  <c r="U69" i="2" l="1"/>
  <c r="U72" i="2" s="1"/>
  <c r="U73" i="2" s="1"/>
  <c r="U74" i="2" s="1"/>
  <c r="U75" i="2" s="1"/>
  <c r="U78" i="2" s="1"/>
  <c r="R42" i="2"/>
  <c r="R36" i="2"/>
  <c r="R41" i="2"/>
  <c r="CY57" i="1"/>
  <c r="CY59" i="1" s="1"/>
  <c r="DY64" i="1"/>
  <c r="DY65" i="1"/>
  <c r="DY66" i="1" s="1"/>
  <c r="BY57" i="1"/>
  <c r="EY64" i="1" l="1"/>
  <c r="CY64" i="1"/>
  <c r="CY65" i="1"/>
  <c r="CY66" i="1" s="1"/>
  <c r="U41" i="2"/>
  <c r="U42" i="2"/>
  <c r="U36" i="2"/>
  <c r="BY59" i="1"/>
  <c r="EY23" i="1"/>
  <c r="EY24" i="1" s="1"/>
  <c r="T36" i="2" l="1"/>
  <c r="T42" i="2"/>
  <c r="T41" i="2"/>
  <c r="BY64" i="1"/>
  <c r="BY65" i="1"/>
  <c r="BY66" i="1" s="1"/>
  <c r="AY23" i="1"/>
  <c r="R9" i="2" s="1"/>
  <c r="S42" i="2" l="1"/>
  <c r="S36" i="2"/>
  <c r="S41" i="2"/>
  <c r="AY24" i="1"/>
  <c r="EY58" i="1" l="1"/>
  <c r="EY59" i="1" s="1"/>
  <c r="E49" i="1"/>
  <c r="EY63" i="1" l="1"/>
  <c r="ET23" i="1"/>
  <c r="BY23" i="1"/>
  <c r="S9" i="2" s="1"/>
  <c r="EY30" i="1"/>
  <c r="EY32" i="1" s="1"/>
  <c r="CY23" i="1"/>
  <c r="T9" i="2" s="1"/>
  <c r="J28" i="1"/>
  <c r="E18" i="2" s="1"/>
  <c r="EY31" i="1" l="1"/>
  <c r="AT23" i="1"/>
  <c r="R8" i="2" s="1"/>
  <c r="BY24" i="1"/>
  <c r="CY24" i="1"/>
  <c r="AY30" i="1" l="1"/>
  <c r="AY31" i="1" s="1"/>
  <c r="AY29" i="1"/>
  <c r="R7" i="2" l="1"/>
  <c r="R13" i="2"/>
  <c r="R12" i="2"/>
  <c r="S8" i="2"/>
  <c r="EY65" i="1"/>
  <c r="BY29" i="1"/>
  <c r="CT23" i="1" l="1"/>
  <c r="T8" i="2" s="1"/>
  <c r="EY66" i="1"/>
  <c r="EY67" i="1"/>
  <c r="R11" i="2"/>
  <c r="BY30" i="1"/>
  <c r="BY31" i="1" s="1"/>
  <c r="S7" i="2" l="1"/>
  <c r="S12" i="2"/>
  <c r="S13" i="2"/>
  <c r="CY29" i="1" l="1"/>
  <c r="S11" i="2"/>
  <c r="CY30" i="1" l="1"/>
  <c r="CY31" i="1" s="1"/>
  <c r="T7" i="2" s="1"/>
  <c r="T13" i="2" l="1"/>
  <c r="T12" i="2"/>
  <c r="T11" i="2" l="1"/>
  <c r="J76" i="1" l="1"/>
  <c r="Q37" i="2" s="1"/>
  <c r="J62" i="1" l="1"/>
  <c r="J64" i="1" s="1"/>
  <c r="E47" i="2" l="1"/>
  <c r="E48" i="2" s="1"/>
  <c r="S35" i="2" l="1"/>
  <c r="S39" i="2" s="1"/>
  <c r="R35" i="2"/>
  <c r="R39" i="2" s="1"/>
  <c r="T35" i="2"/>
  <c r="T39" i="2" s="1"/>
  <c r="U35" i="2"/>
  <c r="U39" i="2" s="1"/>
  <c r="E54" i="2"/>
  <c r="E52" i="2" s="1"/>
  <c r="E57" i="2" s="1"/>
  <c r="Q38" i="2"/>
  <c r="E84" i="1" l="1"/>
  <c r="E85" i="1"/>
  <c r="T52" i="2"/>
  <c r="R52" i="2"/>
  <c r="U52" i="2"/>
  <c r="S52" i="2"/>
  <c r="E86" i="1" l="1"/>
  <c r="Q42" i="2" l="1"/>
  <c r="Q65" i="2"/>
  <c r="Q64" i="2" s="1"/>
  <c r="Q68" i="2" s="1"/>
  <c r="E58" i="2"/>
  <c r="Q36" i="2"/>
  <c r="Q35" i="2" s="1"/>
  <c r="Q39" i="2" s="1"/>
  <c r="V55" i="2" s="1"/>
  <c r="Q41" i="2"/>
  <c r="S40" i="2"/>
  <c r="S43" i="2" s="1"/>
  <c r="S44" i="2" s="1"/>
  <c r="S45" i="2" s="1"/>
  <c r="S46" i="2" s="1"/>
  <c r="S49" i="2" s="1"/>
  <c r="T40" i="2"/>
  <c r="T43" i="2" s="1"/>
  <c r="T44" i="2" s="1"/>
  <c r="T45" i="2" s="1"/>
  <c r="T46" i="2" s="1"/>
  <c r="T49" i="2" s="1"/>
  <c r="Q40" i="2" l="1"/>
  <c r="Q43" i="2" s="1"/>
  <c r="Q44" i="2" s="1"/>
  <c r="Q45" i="2" s="1"/>
  <c r="Q46" i="2" s="1"/>
  <c r="Q49" i="2" s="1"/>
  <c r="Q81" i="2"/>
  <c r="V84" i="2"/>
  <c r="Q72" i="2"/>
  <c r="Q73" i="2" s="1"/>
  <c r="Q74" i="2" s="1"/>
  <c r="Q75" i="2" s="1"/>
  <c r="Q78" i="2" s="1"/>
  <c r="Q85" i="2" s="1"/>
  <c r="AA63" i="2" s="1"/>
  <c r="Q52" i="2"/>
  <c r="Q55" i="2" s="1"/>
  <c r="Z34" i="2" s="1"/>
  <c r="R40" i="2"/>
  <c r="R43" i="2" s="1"/>
  <c r="R44" i="2" s="1"/>
  <c r="R45" i="2" s="1"/>
  <c r="R46" i="2" s="1"/>
  <c r="R49" i="2" s="1"/>
  <c r="U40" i="2"/>
  <c r="U43" i="2" s="1"/>
  <c r="U44" i="2" s="1"/>
  <c r="U45" i="2" s="1"/>
  <c r="U46" i="2" s="1"/>
  <c r="U49" i="2" s="1"/>
  <c r="Q82" i="2" l="1"/>
  <c r="R82" i="2" s="1"/>
  <c r="S82" i="2" s="1"/>
  <c r="T82" i="2" s="1"/>
  <c r="U82" i="2" s="1"/>
  <c r="Q84" i="2"/>
  <c r="Z63" i="2" s="1"/>
  <c r="Q53" i="2"/>
  <c r="R53" i="2" s="1"/>
  <c r="S53" i="2" s="1"/>
  <c r="T53" i="2" s="1"/>
  <c r="U53" i="2" s="1"/>
  <c r="Q56" i="2"/>
  <c r="AA34" i="2" s="1"/>
  <c r="J41" i="1" l="1"/>
  <c r="Q8" i="2" s="1"/>
  <c r="E24" i="2" l="1"/>
  <c r="R6" i="2" l="1"/>
  <c r="R10" i="2" s="1"/>
  <c r="R14" i="2" s="1"/>
  <c r="R15" i="2" l="1"/>
  <c r="R16" i="2" s="1"/>
  <c r="S6" i="2"/>
  <c r="S10" i="2" s="1"/>
  <c r="S14" i="2" s="1"/>
  <c r="R17" i="2" l="1"/>
  <c r="R20" i="2" s="1"/>
  <c r="R23" i="2" s="1"/>
  <c r="S15" i="2"/>
  <c r="S16" i="2" s="1"/>
  <c r="T6" i="2"/>
  <c r="T10" i="2" s="1"/>
  <c r="T14" i="2" s="1"/>
  <c r="S17" i="2" l="1"/>
  <c r="S20" i="2" s="1"/>
  <c r="T15" i="2"/>
  <c r="T16" i="2" s="1"/>
  <c r="T17" i="2" s="1"/>
  <c r="T20" i="2" s="1"/>
  <c r="T23" i="2" s="1"/>
  <c r="S23" i="2" l="1"/>
  <c r="DT23" i="1" l="1"/>
  <c r="U8" i="2" s="1"/>
  <c r="DY30" i="1"/>
  <c r="DY31" i="1" s="1"/>
  <c r="DY23" i="1"/>
  <c r="U9" i="2" s="1"/>
  <c r="U13" i="2" l="1"/>
  <c r="U12" i="2"/>
  <c r="U7" i="2"/>
  <c r="U6" i="2" s="1"/>
  <c r="U10" i="2" s="1"/>
  <c r="DY24" i="1"/>
  <c r="U11" i="2" l="1"/>
  <c r="U14" i="2" s="1"/>
  <c r="U15" i="2" s="1"/>
  <c r="U16" i="2" s="1"/>
  <c r="U17" i="2" l="1"/>
  <c r="U20" i="2" s="1"/>
  <c r="U23" i="2" l="1"/>
  <c r="AJ53" i="1" l="1"/>
  <c r="AJ41" i="1"/>
  <c r="AJ51" i="1" l="1" a="1"/>
  <c r="AJ51" i="1" s="1"/>
  <c r="AJ54" i="1" s="1"/>
  <c r="AJ46" i="1"/>
  <c r="AK50" i="1" s="1"/>
  <c r="AJ47" i="1" l="1"/>
  <c r="J27" i="1"/>
  <c r="AK41" i="1"/>
  <c r="AK53" i="1" l="1"/>
  <c r="E19" i="2"/>
  <c r="J29" i="1"/>
  <c r="AK51" i="1" l="1" a="1"/>
  <c r="AK51" i="1" s="1"/>
  <c r="E50" i="1" s="1"/>
  <c r="E51" i="1" s="1"/>
  <c r="Q12" i="2" s="1"/>
  <c r="AK46" i="1"/>
  <c r="AK47" i="1" s="1"/>
  <c r="E25" i="2"/>
  <c r="E23" i="2" s="1"/>
  <c r="E28" i="2" s="1"/>
  <c r="Q9" i="2"/>
  <c r="Q13" i="2" l="1"/>
  <c r="Q11" i="2" s="1"/>
  <c r="Q7" i="2"/>
  <c r="Q6" i="2" s="1"/>
  <c r="Q10" i="2" s="1"/>
  <c r="E29" i="2"/>
  <c r="Q14" i="2" l="1"/>
  <c r="Q15" i="2" s="1"/>
  <c r="Q16" i="2" s="1"/>
  <c r="Q17" i="2" s="1"/>
  <c r="Q20" i="2" s="1"/>
  <c r="V26" i="2" l="1"/>
  <c r="Q27" i="2"/>
  <c r="AA5" i="2" s="1"/>
  <c r="Q23" i="2"/>
  <c r="Q26" i="2" l="1"/>
  <c r="Z5" i="2" s="1"/>
  <c r="Q24" i="2"/>
  <c r="R24" i="2" s="1"/>
  <c r="S24" i="2" s="1"/>
  <c r="T24" i="2" s="1"/>
  <c r="U2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<sst xmlns="http://schemas.openxmlformats.org/spreadsheetml/2006/main" count="1517" uniqueCount="261">
  <si>
    <t>Solar Power Generation</t>
  </si>
  <si>
    <t>Installed capacity</t>
  </si>
  <si>
    <t>kWp</t>
  </si>
  <si>
    <t>Installed Capacity</t>
  </si>
  <si>
    <t>Solar Energy Production</t>
  </si>
  <si>
    <t>Specific Yield</t>
  </si>
  <si>
    <t>%</t>
  </si>
  <si>
    <t>kWh/kWp/year</t>
  </si>
  <si>
    <t>Ayer Keroh Site Conditions</t>
  </si>
  <si>
    <t>Specific PV power output</t>
  </si>
  <si>
    <t>kWh/kWp/day</t>
  </si>
  <si>
    <t>Assumption</t>
  </si>
  <si>
    <t>Calculation</t>
  </si>
  <si>
    <t>Battery Storage</t>
  </si>
  <si>
    <t>kWh</t>
  </si>
  <si>
    <t>kWh/year</t>
  </si>
  <si>
    <t>Note:</t>
  </si>
  <si>
    <t>Charging Ports</t>
  </si>
  <si>
    <t>kW</t>
  </si>
  <si>
    <t>V</t>
  </si>
  <si>
    <t>Ah</t>
  </si>
  <si>
    <t>#</t>
  </si>
  <si>
    <t>Discharge</t>
  </si>
  <si>
    <t>Power (continuous, 0.75C)</t>
  </si>
  <si>
    <t>Power (max, 1C)</t>
  </si>
  <si>
    <t>Charging and Demand</t>
  </si>
  <si>
    <t>Load</t>
  </si>
  <si>
    <t># / day</t>
  </si>
  <si>
    <t>Number of Users / year</t>
  </si>
  <si>
    <t>Number of Users / day</t>
  </si>
  <si>
    <t># / year</t>
  </si>
  <si>
    <t>SoC at entry</t>
  </si>
  <si>
    <t>SoC limit</t>
  </si>
  <si>
    <t>EV battery voltage</t>
  </si>
  <si>
    <t>Ampere-hour rating</t>
  </si>
  <si>
    <t>SoC to be charged</t>
  </si>
  <si>
    <t>Demand</t>
  </si>
  <si>
    <t>kWh/ user</t>
  </si>
  <si>
    <t>Required energy / user</t>
  </si>
  <si>
    <t>Required energy / day</t>
  </si>
  <si>
    <t>kWh / day</t>
  </si>
  <si>
    <t>Estimated Generation / year</t>
  </si>
  <si>
    <t>Estimated Generation / day</t>
  </si>
  <si>
    <t>kWh/day</t>
  </si>
  <si>
    <t>hr</t>
  </si>
  <si>
    <t>Solar PV Rectification</t>
  </si>
  <si>
    <t>Capital Expenditure</t>
  </si>
  <si>
    <t>RM</t>
  </si>
  <si>
    <t>DC Chargers</t>
  </si>
  <si>
    <t>200 kW PCS</t>
  </si>
  <si>
    <t>301 kWh ESS</t>
  </si>
  <si>
    <t>Exchange Rate</t>
  </si>
  <si>
    <t>RM/USD</t>
  </si>
  <si>
    <t>Total Capex</t>
  </si>
  <si>
    <t>Hourly Breakdown</t>
  </si>
  <si>
    <t>Capital Expenditure Items</t>
  </si>
  <si>
    <t>Operating Expenditure</t>
  </si>
  <si>
    <t>Operating Expenditure Items</t>
  </si>
  <si>
    <t>Revenue</t>
  </si>
  <si>
    <t>Chargers</t>
  </si>
  <si>
    <t>Retail to facility</t>
  </si>
  <si>
    <t>Output</t>
  </si>
  <si>
    <t>Revenue required to break-even</t>
  </si>
  <si>
    <t>Electricity tariff rate</t>
  </si>
  <si>
    <t>Tariff assumption</t>
  </si>
  <si>
    <t>RM/kWh</t>
  </si>
  <si>
    <t xml:space="preserve"> </t>
  </si>
  <si>
    <t>Excess to facility</t>
  </si>
  <si>
    <t>DC Charger Demand</t>
  </si>
  <si>
    <t>Hour</t>
  </si>
  <si>
    <t>Est. kWh generated</t>
  </si>
  <si>
    <t>ESS SoC (with load)</t>
  </si>
  <si>
    <t>ESS Charge (with load)</t>
  </si>
  <si>
    <t>kWh / year</t>
  </si>
  <si>
    <t>Required energy / year</t>
  </si>
  <si>
    <t>Annual Cash Flows</t>
  </si>
  <si>
    <t>Solar PV O&amp;M</t>
  </si>
  <si>
    <t>DC Chargers O&amp;M</t>
  </si>
  <si>
    <t>ESS O&amp;M</t>
  </si>
  <si>
    <t>RM / year</t>
  </si>
  <si>
    <t>Total Opex</t>
  </si>
  <si>
    <t>USD/kW/year</t>
  </si>
  <si>
    <t>USD/charger/year</t>
  </si>
  <si>
    <t>EV Charger O&amp;M</t>
  </si>
  <si>
    <t>Fixed O&amp;M</t>
  </si>
  <si>
    <t>LFP O&amp;M</t>
  </si>
  <si>
    <t>EBITDA</t>
  </si>
  <si>
    <t>Price to EV Chargers</t>
  </si>
  <si>
    <t>Net Present Value</t>
  </si>
  <si>
    <t>Internal Rate of Return</t>
  </si>
  <si>
    <t>Opex (2% escalation)</t>
  </si>
  <si>
    <t>Cumulative Cash Flow</t>
  </si>
  <si>
    <t>PV of CF</t>
  </si>
  <si>
    <t>Initial Investment</t>
  </si>
  <si>
    <t>Discounting Cash Flows</t>
  </si>
  <si>
    <t>Net Profits (FV)</t>
  </si>
  <si>
    <t>Boost Inverter Efficiency</t>
  </si>
  <si>
    <t>Daily generation (kWh)</t>
  </si>
  <si>
    <t>% of daily kWh</t>
  </si>
  <si>
    <t>% of max kW</t>
  </si>
  <si>
    <t>Grid Charging</t>
  </si>
  <si>
    <t>Grid electricity</t>
  </si>
  <si>
    <t>Grid electricity required / day</t>
  </si>
  <si>
    <t>5-year Lifetime</t>
  </si>
  <si>
    <t>Per Annum</t>
  </si>
  <si>
    <t>Charging revenue required</t>
  </si>
  <si>
    <t>Margin on electricity sold to facility</t>
  </si>
  <si>
    <t>Electricity / day</t>
  </si>
  <si>
    <t>Electricity / year</t>
  </si>
  <si>
    <t>Max. kW rating</t>
  </si>
  <si>
    <t>Required from chargers</t>
  </si>
  <si>
    <t>Peak electricity charged from grid</t>
  </si>
  <si>
    <t>DC Charger 1 rating</t>
  </si>
  <si>
    <t># of DC Charger 1</t>
  </si>
  <si>
    <t>DC Charger 2 rating</t>
  </si>
  <si>
    <t># of DC Charger 2</t>
  </si>
  <si>
    <t>DC 1 Charging Time / user</t>
  </si>
  <si>
    <t>DC 2 Charging Time / user</t>
  </si>
  <si>
    <t>WACC</t>
  </si>
  <si>
    <t>RM in 1st year</t>
  </si>
  <si>
    <t>To include depreciation expense for ESS, charger, solar</t>
  </si>
  <si>
    <t>Use TRUE/FALSE logic to check waiting time for users</t>
  </si>
  <si>
    <t>Assume users spread throughout the day</t>
  </si>
  <si>
    <t>Include 90% of year operational, 10% for O&amp;M. Reduces revenue and costs.</t>
  </si>
  <si>
    <t>At different demand levels, find lifetime of chargers/ESS</t>
  </si>
  <si>
    <t>For small battery sizes (50kWh) with large chargers (180kW), apply higher C-rate.</t>
  </si>
  <si>
    <t>Single-state ESS (either charges or discharges). Logic indicates waiting, charged from grid (with power limit 30kW).</t>
  </si>
  <si>
    <t>ESS System</t>
  </si>
  <si>
    <t>Grid draw limit</t>
  </si>
  <si>
    <t>Charge Rate</t>
  </si>
  <si>
    <t>C-rate</t>
  </si>
  <si>
    <t>Maximum Power</t>
  </si>
  <si>
    <t>ESS Charge (t) = ESS Charge (t-1) + Solar Power + Grid - Charger Demand</t>
  </si>
  <si>
    <t>Grid Peak</t>
  </si>
  <si>
    <t>Total Charge Supply</t>
  </si>
  <si>
    <t># Users</t>
  </si>
  <si>
    <t>Charging from Grid split into 1) Constant off-peak, 2) Demand-variable on-peak</t>
  </si>
  <si>
    <t>Grid Off-Peak</t>
  </si>
  <si>
    <t>Grid Peak: If charger demand&gt;ESS Charge, charge 30kWh</t>
  </si>
  <si>
    <t>State</t>
  </si>
  <si>
    <t>Assumed simultaneous charging from solar during discharge, but single-state for grid charging/discharge</t>
  </si>
  <si>
    <t>Total waiting time</t>
  </si>
  <si>
    <t>Actual Users served  / day</t>
  </si>
  <si>
    <t>Actual energy served / day</t>
  </si>
  <si>
    <t>Operational Time</t>
  </si>
  <si>
    <t>Off-peak electricity required</t>
  </si>
  <si>
    <t>(-) Depreciation</t>
  </si>
  <si>
    <t>Charger Depreciation</t>
  </si>
  <si>
    <t>ESS Depreciation</t>
  </si>
  <si>
    <t>EBIT</t>
  </si>
  <si>
    <t>Net Income</t>
  </si>
  <si>
    <t>Operating CF</t>
  </si>
  <si>
    <t>(-) Capex</t>
  </si>
  <si>
    <t>FCF</t>
  </si>
  <si>
    <t>(-) Change in NWC</t>
  </si>
  <si>
    <t>(-) Tax Expense (25%)</t>
  </si>
  <si>
    <t>Discounted Cash Flows</t>
  </si>
  <si>
    <t>Depreciation</t>
  </si>
  <si>
    <t>SoC upper limit</t>
  </si>
  <si>
    <t>SoC lower limit</t>
  </si>
  <si>
    <t>DoD</t>
  </si>
  <si>
    <t>EoL capacity</t>
  </si>
  <si>
    <t>ESS Capex/kWh</t>
  </si>
  <si>
    <t>ESS Nameplate Lifecycle</t>
  </si>
  <si>
    <t># cycles</t>
  </si>
  <si>
    <t>Actual ESS Lifecycle</t>
  </si>
  <si>
    <t>Charger Lifecycle Capacity</t>
  </si>
  <si>
    <t>Charger Capex/kW</t>
  </si>
  <si>
    <t>RM/kW</t>
  </si>
  <si>
    <t>Year 1</t>
  </si>
  <si>
    <t>Year 2</t>
  </si>
  <si>
    <t>Additional Users / year</t>
  </si>
  <si>
    <t>Year</t>
  </si>
  <si>
    <t>Fills 0900-2200 first</t>
  </si>
  <si>
    <t>Then 0800, 0700, 2300, 2400, 0600, 0500</t>
  </si>
  <si>
    <t>Maximum of 20</t>
  </si>
  <si>
    <t>Year 3</t>
  </si>
  <si>
    <t>Year 4</t>
  </si>
  <si>
    <t>Year 5</t>
  </si>
  <si>
    <t>Best case scenario with 90kWh charged by 0100</t>
  </si>
  <si>
    <t>Demand starts at 0200</t>
  </si>
  <si>
    <t>Capacity (79.2)</t>
  </si>
  <si>
    <t>Charging Strategy 1: Grid --&gt; ESS --&gt; Charger</t>
  </si>
  <si>
    <t>Charging Strategy 2: Grid + ESS --&gt; Charger</t>
  </si>
  <si>
    <t>Reached ESS SoC?</t>
  </si>
  <si>
    <t>Charger Needed?</t>
  </si>
  <si>
    <t>Insufficient charge</t>
  </si>
  <si>
    <t>Load on ESS</t>
  </si>
  <si>
    <t>Unavailable?</t>
  </si>
  <si>
    <t>Operational Year</t>
  </si>
  <si>
    <t>Peak tariff rate</t>
  </si>
  <si>
    <t>Off-peak tariff rate</t>
  </si>
  <si>
    <t>(-) Opex (2% escalation)</t>
  </si>
  <si>
    <t>Max. Availability (%)</t>
  </si>
  <si>
    <t># of Users</t>
  </si>
  <si>
    <t>$Q$2</t>
  </si>
  <si>
    <t>Low</t>
  </si>
  <si>
    <t>Created by Jun Jie on 10/18/2021</t>
  </si>
  <si>
    <t>Med</t>
  </si>
  <si>
    <t>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</si>
  <si>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</si>
  <si>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</si>
  <si>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</si>
  <si>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</si>
  <si>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</si>
  <si>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</si>
  <si>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</si>
  <si>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$Q$6</t>
  </si>
  <si>
    <t>$R$6</t>
  </si>
  <si>
    <t>$S$6</t>
  </si>
  <si>
    <t>$T$6</t>
  </si>
  <si>
    <t>$U$6</t>
  </si>
  <si>
    <t>$Q$9</t>
  </si>
  <si>
    <t>$R$9</t>
  </si>
  <si>
    <t>$S$9</t>
  </si>
  <si>
    <t>$T$9</t>
  </si>
  <si>
    <t>$U$9</t>
  </si>
  <si>
    <t>$Q$11</t>
  </si>
  <si>
    <t>$R$11</t>
  </si>
  <si>
    <t>$S$11</t>
  </si>
  <si>
    <t>$T$11</t>
  </si>
  <si>
    <t>$U$11</t>
  </si>
  <si>
    <t>$Q$33</t>
  </si>
  <si>
    <t>$R$33</t>
  </si>
  <si>
    <t>$S$33</t>
  </si>
  <si>
    <t>$T$33</t>
  </si>
  <si>
    <t>$U$33</t>
  </si>
  <si>
    <t>$Q$36</t>
  </si>
  <si>
    <t>$R$36</t>
  </si>
  <si>
    <t>$S$36</t>
  </si>
  <si>
    <t>$T$36</t>
  </si>
  <si>
    <t>$U$36</t>
  </si>
  <si>
    <t>$Q$38</t>
  </si>
  <si>
    <t>$R$38</t>
  </si>
  <si>
    <t>$S$38</t>
  </si>
  <si>
    <t>$T$38</t>
  </si>
  <si>
    <t>$U$38</t>
  </si>
  <si>
    <t>Strategy 1</t>
  </si>
  <si>
    <t>Opex</t>
  </si>
  <si>
    <t>Strategy 2</t>
  </si>
  <si>
    <t>Number of Users / Day</t>
  </si>
  <si>
    <t>Low Demand</t>
  </si>
  <si>
    <t>High Demand</t>
  </si>
  <si>
    <t>In low demand scenario, revenue difference between the two charging strategies (due to unavailability) is insignificant.</t>
  </si>
  <si>
    <t>In high demand scenario past 12 users, revenue for Strategy 1 is limited but revenue for Strategy 2 increases till at least 15 users per day.</t>
  </si>
  <si>
    <t>Opex from grid electricity charges is much lower in strategy 1 than strategy 2 regardless of demand, as the peak electricity is relied upon much more in the latter.</t>
  </si>
  <si>
    <t>Benefits:</t>
  </si>
  <si>
    <t>Smoother discharge on the battery, prolongs battery life in high demand times</t>
  </si>
  <si>
    <t>Higher NPV as additional revenue from increased availability offsets the higher opex</t>
  </si>
  <si>
    <t>Higher depreciation in Strategy 2 due to higher usage when demand is high. Net income for Strategy 2 will be lower, but since depreciation is added back to calculate cash flows, overall cash return for Strategy 2 is higher</t>
  </si>
  <si>
    <t>Exicom</t>
  </si>
  <si>
    <t>Durapower</t>
  </si>
  <si>
    <t>Wanke</t>
  </si>
  <si>
    <t>Maximum</t>
  </si>
  <si>
    <t>Exicom (354kWh)</t>
  </si>
  <si>
    <t>Durapower (284kWh)</t>
  </si>
  <si>
    <t>Wanke (324kWh)</t>
  </si>
  <si>
    <t>EV Characteristics</t>
  </si>
  <si>
    <t>NPV</t>
  </si>
  <si>
    <t>IRR</t>
  </si>
  <si>
    <t>Daily 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</si>
</sst>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_(* #,##0.0_);_(* \(#,##0.0\);_(* &quot;-&quot;??_);_(@_)"/>
    <numFmt numFmtId="168" formatCode="0.0%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6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8" borderId="4" applyNumberFormat="0" applyAlignment="0" applyProtection="0"/>
  </cellStyleXfs>
  <cellXfs count="136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4" borderId="0" xfId="0" applyFont="1" applyFill="1"/>
    <xf numFmtId="0" fontId="3" fillId="4" borderId="0" xfId="0" applyFont="1" applyFill="1"/>
    <xf numFmtId="0" fontId="4" fillId="2" borderId="0" xfId="0" applyFont="1" applyFill="1"/>
    <xf numFmtId="0" fontId="4" fillId="3" borderId="1" xfId="0" applyFont="1" applyFill="1" applyBorder="1"/>
    <xf numFmtId="0" fontId="0" fillId="2" borderId="2" xfId="0" applyFill="1" applyBorder="1"/>
    <xf numFmtId="0" fontId="0" fillId="6" borderId="0" xfId="0" applyFill="1"/>
    <xf numFmtId="0" fontId="3" fillId="7" borderId="0" xfId="0" applyFont="1" applyFill="1"/>
    <xf numFmtId="0" fontId="4" fillId="3" borderId="3" xfId="0" applyFont="1" applyFill="1" applyBorder="1"/>
    <xf numFmtId="166" fontId="5" fillId="2" borderId="3" xfId="0" applyNumberFormat="1" applyFont="1" applyFill="1" applyBorder="1"/>
    <xf numFmtId="165" fontId="5" fillId="2" borderId="3" xfId="1" applyNumberFormat="1" applyFont="1" applyFill="1" applyBorder="1"/>
    <xf numFmtId="0" fontId="0" fillId="2" borderId="3" xfId="0" applyFill="1" applyBorder="1"/>
    <xf numFmtId="9" fontId="4" fillId="3" borderId="3" xfId="2" applyFont="1" applyFill="1" applyBorder="1"/>
    <xf numFmtId="9" fontId="0" fillId="2" borderId="3" xfId="0" applyNumberFormat="1" applyFill="1" applyBorder="1"/>
    <xf numFmtId="0" fontId="0" fillId="6" borderId="0" xfId="0" applyFill="1" applyAlignment="1">
      <alignment horizontal="left"/>
    </xf>
    <xf numFmtId="164" fontId="4" fillId="3" borderId="3" xfId="1" applyFont="1" applyFill="1" applyBorder="1"/>
    <xf numFmtId="165" fontId="4" fillId="3" borderId="3" xfId="1" applyNumberFormat="1" applyFont="1" applyFill="1" applyBorder="1"/>
    <xf numFmtId="0" fontId="0" fillId="2" borderId="5" xfId="0" applyFill="1" applyBorder="1"/>
    <xf numFmtId="165" fontId="5" fillId="0" borderId="3" xfId="0" applyNumberFormat="1" applyFont="1" applyBorder="1"/>
    <xf numFmtId="165" fontId="9" fillId="8" borderId="3" xfId="3" applyNumberFormat="1" applyFont="1" applyBorder="1" applyAlignment="1">
      <alignment horizontal="righ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164" fontId="5" fillId="2" borderId="3" xfId="1" applyFont="1" applyFill="1" applyBorder="1"/>
    <xf numFmtId="166" fontId="0" fillId="2" borderId="0" xfId="0" applyNumberFormat="1" applyFill="1"/>
    <xf numFmtId="9" fontId="0" fillId="0" borderId="0" xfId="2" applyFont="1"/>
    <xf numFmtId="2" fontId="0" fillId="0" borderId="0" xfId="1" applyNumberFormat="1" applyFont="1"/>
    <xf numFmtId="0" fontId="5" fillId="2" borderId="0" xfId="0" applyFont="1" applyFill="1"/>
    <xf numFmtId="165" fontId="0" fillId="2" borderId="3" xfId="1" applyNumberFormat="1" applyFont="1" applyFill="1" applyBorder="1"/>
    <xf numFmtId="165" fontId="0" fillId="2" borderId="0" xfId="1" applyNumberFormat="1" applyFont="1" applyFill="1" applyBorder="1"/>
    <xf numFmtId="165" fontId="0" fillId="2" borderId="2" xfId="1" applyNumberFormat="1" applyFont="1" applyFill="1" applyBorder="1"/>
    <xf numFmtId="167" fontId="4" fillId="3" borderId="3" xfId="1" applyNumberFormat="1" applyFont="1" applyFill="1" applyBorder="1"/>
    <xf numFmtId="165" fontId="0" fillId="2" borderId="5" xfId="1" applyNumberFormat="1" applyFont="1" applyFill="1" applyBorder="1"/>
    <xf numFmtId="164" fontId="9" fillId="8" borderId="3" xfId="3" applyNumberFormat="1" applyFont="1" applyBorder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65" fontId="0" fillId="2" borderId="7" xfId="1" applyNumberFormat="1" applyFont="1" applyFill="1" applyBorder="1"/>
    <xf numFmtId="165" fontId="0" fillId="2" borderId="8" xfId="0" applyNumberFormat="1" applyFill="1" applyBorder="1"/>
    <xf numFmtId="165" fontId="5" fillId="0" borderId="3" xfId="1" applyNumberFormat="1" applyFont="1" applyFill="1" applyBorder="1"/>
    <xf numFmtId="164" fontId="3" fillId="4" borderId="0" xfId="0" applyNumberFormat="1" applyFont="1" applyFill="1"/>
    <xf numFmtId="9" fontId="0" fillId="0" borderId="0" xfId="0" applyNumberFormat="1"/>
    <xf numFmtId="166" fontId="0" fillId="2" borderId="5" xfId="0" applyNumberFormat="1" applyFill="1" applyBorder="1"/>
    <xf numFmtId="9" fontId="0" fillId="2" borderId="5" xfId="2" applyFont="1" applyFill="1" applyBorder="1"/>
    <xf numFmtId="0" fontId="0" fillId="2" borderId="0" xfId="0" applyFill="1" applyAlignment="1">
      <alignment horizontal="right"/>
    </xf>
    <xf numFmtId="166" fontId="0" fillId="2" borderId="3" xfId="0" applyNumberFormat="1" applyFill="1" applyBorder="1"/>
    <xf numFmtId="2" fontId="0" fillId="2" borderId="0" xfId="0" applyNumberFormat="1" applyFill="1"/>
    <xf numFmtId="0" fontId="1" fillId="11" borderId="9" xfId="0" applyFont="1" applyFill="1" applyBorder="1"/>
    <xf numFmtId="0" fontId="3" fillId="11" borderId="0" xfId="0" applyFont="1" applyFill="1"/>
    <xf numFmtId="0" fontId="3" fillId="11" borderId="10" xfId="0" applyFont="1" applyFill="1" applyBorder="1"/>
    <xf numFmtId="0" fontId="2" fillId="2" borderId="9" xfId="0" applyFont="1" applyFill="1" applyBorder="1"/>
    <xf numFmtId="165" fontId="5" fillId="0" borderId="10" xfId="0" applyNumberFormat="1" applyFont="1" applyBorder="1"/>
    <xf numFmtId="0" fontId="2" fillId="2" borderId="6" xfId="0" applyFont="1" applyFill="1" applyBorder="1"/>
    <xf numFmtId="2" fontId="0" fillId="2" borderId="3" xfId="0" applyNumberFormat="1" applyFill="1" applyBorder="1"/>
    <xf numFmtId="0" fontId="1" fillId="5" borderId="9" xfId="0" applyFont="1" applyFill="1" applyBorder="1"/>
    <xf numFmtId="0" fontId="3" fillId="5" borderId="0" xfId="0" applyFont="1" applyFill="1"/>
    <xf numFmtId="0" fontId="3" fillId="5" borderId="10" xfId="0" applyFont="1" applyFill="1" applyBorder="1"/>
    <xf numFmtId="0" fontId="13" fillId="2" borderId="0" xfId="0" applyFont="1" applyFill="1"/>
    <xf numFmtId="0" fontId="1" fillId="7" borderId="9" xfId="0" applyFont="1" applyFill="1" applyBorder="1"/>
    <xf numFmtId="0" fontId="3" fillId="7" borderId="10" xfId="0" applyFont="1" applyFill="1" applyBorder="1"/>
    <xf numFmtId="0" fontId="14" fillId="2" borderId="9" xfId="0" applyFont="1" applyFill="1" applyBorder="1"/>
    <xf numFmtId="0" fontId="3" fillId="2" borderId="7" xfId="0" applyFont="1" applyFill="1" applyBorder="1" applyAlignment="1">
      <alignment horizontal="left"/>
    </xf>
    <xf numFmtId="0" fontId="3" fillId="2" borderId="7" xfId="0" applyFont="1" applyFill="1" applyBorder="1"/>
    <xf numFmtId="165" fontId="0" fillId="2" borderId="12" xfId="0" applyNumberFormat="1" applyFill="1" applyBorder="1"/>
    <xf numFmtId="2" fontId="4" fillId="3" borderId="3" xfId="0" applyNumberFormat="1" applyFont="1" applyFill="1" applyBorder="1"/>
    <xf numFmtId="168" fontId="4" fillId="3" borderId="3" xfId="2" applyNumberFormat="1" applyFont="1" applyFill="1" applyBorder="1"/>
    <xf numFmtId="0" fontId="0" fillId="2" borderId="8" xfId="0" applyFill="1" applyBorder="1"/>
    <xf numFmtId="0" fontId="1" fillId="9" borderId="9" xfId="0" applyFont="1" applyFill="1" applyBorder="1"/>
    <xf numFmtId="0" fontId="3" fillId="9" borderId="0" xfId="0" applyFont="1" applyFill="1"/>
    <xf numFmtId="0" fontId="10" fillId="2" borderId="0" xfId="0" applyFont="1" applyFill="1"/>
    <xf numFmtId="9" fontId="0" fillId="2" borderId="0" xfId="2" applyFont="1" applyFill="1" applyBorder="1"/>
    <xf numFmtId="0" fontId="2" fillId="2" borderId="11" xfId="0" applyFont="1" applyFill="1" applyBorder="1"/>
    <xf numFmtId="10" fontId="9" fillId="8" borderId="3" xfId="2" applyNumberFormat="1" applyFont="1" applyFill="1" applyBorder="1" applyAlignment="1">
      <alignment horizontal="right"/>
    </xf>
    <xf numFmtId="0" fontId="4" fillId="3" borderId="6" xfId="0" applyFont="1" applyFill="1" applyBorder="1"/>
    <xf numFmtId="0" fontId="5" fillId="8" borderId="13" xfId="3" applyFont="1" applyBorder="1"/>
    <xf numFmtId="0" fontId="4" fillId="2" borderId="9" xfId="0" applyFont="1" applyFill="1" applyBorder="1"/>
    <xf numFmtId="164" fontId="5" fillId="0" borderId="3" xfId="0" applyNumberFormat="1" applyFont="1" applyBorder="1"/>
    <xf numFmtId="0" fontId="1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5" fillId="2" borderId="9" xfId="0" applyFont="1" applyFill="1" applyBorder="1"/>
    <xf numFmtId="0" fontId="1" fillId="7" borderId="0" xfId="0" applyFont="1" applyFill="1"/>
    <xf numFmtId="9" fontId="0" fillId="2" borderId="0" xfId="2" applyFont="1" applyFill="1"/>
    <xf numFmtId="9" fontId="0" fillId="2" borderId="0" xfId="0" applyNumberFormat="1" applyFill="1"/>
    <xf numFmtId="9" fontId="4" fillId="3" borderId="1" xfId="2" applyFont="1" applyFill="1" applyBorder="1"/>
    <xf numFmtId="0" fontId="0" fillId="2" borderId="1" xfId="0" applyFill="1" applyBorder="1"/>
    <xf numFmtId="166" fontId="0" fillId="2" borderId="0" xfId="0" applyNumberFormat="1" applyFill="1" applyAlignment="1">
      <alignment horizontal="right"/>
    </xf>
    <xf numFmtId="0" fontId="2" fillId="2" borderId="7" xfId="0" applyFont="1" applyFill="1" applyBorder="1"/>
    <xf numFmtId="166" fontId="2" fillId="2" borderId="0" xfId="0" applyNumberFormat="1" applyFont="1" applyFill="1"/>
    <xf numFmtId="166" fontId="2" fillId="2" borderId="7" xfId="0" applyNumberFormat="1" applyFont="1" applyFill="1" applyBorder="1"/>
    <xf numFmtId="0" fontId="3" fillId="12" borderId="0" xfId="0" applyFont="1" applyFill="1"/>
    <xf numFmtId="0" fontId="0" fillId="2" borderId="9" xfId="0" applyFill="1" applyBorder="1" applyAlignment="1">
      <alignment horizontal="left" indent="1"/>
    </xf>
    <xf numFmtId="0" fontId="0" fillId="2" borderId="11" xfId="0" applyFill="1" applyBorder="1" applyAlignment="1">
      <alignment horizontal="left" indent="1"/>
    </xf>
    <xf numFmtId="165" fontId="0" fillId="2" borderId="0" xfId="0" applyNumberFormat="1" applyFill="1"/>
    <xf numFmtId="0" fontId="0" fillId="2" borderId="9" xfId="0" applyFill="1" applyBorder="1" applyAlignment="1">
      <alignment horizontal="left" indent="4"/>
    </xf>
    <xf numFmtId="0" fontId="0" fillId="2" borderId="11" xfId="0" applyFill="1" applyBorder="1" applyAlignment="1">
      <alignment horizontal="left" indent="4"/>
    </xf>
    <xf numFmtId="0" fontId="0" fillId="2" borderId="13" xfId="0" applyFill="1" applyBorder="1"/>
    <xf numFmtId="0" fontId="0" fillId="2" borderId="14" xfId="0" applyFill="1" applyBorder="1"/>
    <xf numFmtId="0" fontId="5" fillId="2" borderId="9" xfId="0" applyFont="1" applyFill="1" applyBorder="1" applyAlignment="1">
      <alignment horizontal="left" indent="1"/>
    </xf>
    <xf numFmtId="165" fontId="5" fillId="0" borderId="0" xfId="1" applyNumberFormat="1" applyFont="1" applyFill="1" applyBorder="1"/>
    <xf numFmtId="165" fontId="5" fillId="2" borderId="0" xfId="1" applyNumberFormat="1" applyFont="1" applyFill="1" applyBorder="1"/>
    <xf numFmtId="165" fontId="0" fillId="2" borderId="5" xfId="0" applyNumberFormat="1" applyFill="1" applyBorder="1"/>
    <xf numFmtId="165" fontId="0" fillId="2" borderId="14" xfId="0" applyNumberFormat="1" applyFill="1" applyBorder="1"/>
    <xf numFmtId="165" fontId="0" fillId="2" borderId="0" xfId="1" applyNumberFormat="1" applyFont="1" applyFill="1"/>
    <xf numFmtId="0" fontId="0" fillId="2" borderId="9" xfId="0" applyFill="1" applyBorder="1" applyAlignment="1">
      <alignment horizontal="left"/>
    </xf>
    <xf numFmtId="0" fontId="0" fillId="2" borderId="9" xfId="0" applyFill="1" applyBorder="1" applyAlignment="1">
      <alignment horizontal="left" indent="3"/>
    </xf>
    <xf numFmtId="0" fontId="0" fillId="2" borderId="11" xfId="0" applyFill="1" applyBorder="1" applyAlignment="1">
      <alignment horizontal="left" indent="3"/>
    </xf>
    <xf numFmtId="0" fontId="0" fillId="2" borderId="11" xfId="0" applyFill="1" applyBorder="1" applyAlignment="1">
      <alignment horizontal="left"/>
    </xf>
    <xf numFmtId="9" fontId="0" fillId="2" borderId="3" xfId="2" applyFont="1" applyFill="1" applyBorder="1"/>
    <xf numFmtId="1" fontId="4" fillId="3" borderId="3" xfId="0" applyNumberFormat="1" applyFont="1" applyFill="1" applyBorder="1"/>
    <xf numFmtId="1" fontId="0" fillId="0" borderId="0" xfId="0" applyNumberFormat="1"/>
    <xf numFmtId="165" fontId="0" fillId="0" borderId="0" xfId="0" applyNumberFormat="1"/>
    <xf numFmtId="165" fontId="0" fillId="0" borderId="16" xfId="0" applyNumberFormat="1" applyBorder="1"/>
    <xf numFmtId="0" fontId="15" fillId="13" borderId="5" xfId="0" applyFont="1" applyFill="1" applyBorder="1" applyAlignment="1">
      <alignment horizontal="left"/>
    </xf>
    <xf numFmtId="0" fontId="15" fillId="13" borderId="15" xfId="0" applyFont="1" applyFill="1" applyBorder="1" applyAlignment="1">
      <alignment horizontal="left"/>
    </xf>
    <xf numFmtId="0" fontId="0" fillId="0" borderId="14" xfId="0" applyBorder="1"/>
    <xf numFmtId="0" fontId="16" fillId="14" borderId="0" xfId="0" applyFont="1" applyFill="1" applyAlignment="1">
      <alignment horizontal="left"/>
    </xf>
    <xf numFmtId="0" fontId="17" fillId="14" borderId="14" xfId="0" applyFont="1" applyFill="1" applyBorder="1" applyAlignment="1">
      <alignment horizontal="left"/>
    </xf>
    <xf numFmtId="0" fontId="16" fillId="14" borderId="16" xfId="0" applyFont="1" applyFill="1" applyBorder="1" applyAlignment="1">
      <alignment horizontal="left"/>
    </xf>
    <xf numFmtId="0" fontId="18" fillId="13" borderId="15" xfId="0" applyFont="1" applyFill="1" applyBorder="1" applyAlignment="1">
      <alignment horizontal="right"/>
    </xf>
    <xf numFmtId="0" fontId="18" fillId="13" borderId="5" xfId="0" applyFont="1" applyFill="1" applyBorder="1" applyAlignment="1">
      <alignment horizontal="right"/>
    </xf>
    <xf numFmtId="1" fontId="0" fillId="15" borderId="0" xfId="0" applyNumberFormat="1" applyFill="1"/>
    <xf numFmtId="0" fontId="19" fillId="0" borderId="0" xfId="0" applyFont="1" applyAlignment="1">
      <alignment vertical="top" wrapText="1"/>
    </xf>
    <xf numFmtId="0" fontId="18" fillId="13" borderId="0" xfId="0" applyFont="1" applyFill="1" applyAlignment="1">
      <alignment horizontal="right"/>
    </xf>
    <xf numFmtId="0" fontId="2" fillId="0" borderId="0" xfId="0" applyFont="1"/>
    <xf numFmtId="165" fontId="0" fillId="0" borderId="0" xfId="1" applyNumberFormat="1" applyFont="1"/>
    <xf numFmtId="1" fontId="0" fillId="2" borderId="3" xfId="0" applyNumberFormat="1" applyFill="1" applyBorder="1"/>
    <xf numFmtId="0" fontId="11" fillId="7" borderId="0" xfId="0" applyFont="1" applyFill="1" applyAlignment="1">
      <alignment horizontal="center"/>
    </xf>
    <xf numFmtId="0" fontId="12" fillId="10" borderId="6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2" fillId="10" borderId="8" xfId="0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</cellXfs>
  <cellStyles count="4">
    <cellStyle name="Comma" xfId="1" builtinId="3"/>
    <cellStyle name="Input" xfId="3" builtinId="20"/>
    <cellStyle name="Normal" xfId="0" builtinId="0"/>
    <cellStyle name="Percent" xfId="2" builtinId="5"/>
  </cellStyles>
  <dxfs count="108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Technical!$L$38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Technical!$N$38:$AK$38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7-462B-B43A-A723B328768B}"/>
            </c:ext>
          </c:extLst>
        </c:ser>
        <c:ser>
          <c:idx val="0"/>
          <c:order val="1"/>
          <c:tx>
            <c:strRef>
              <c:f>Technical!$L$44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Technical!$N$44:$AK$44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32.400000000000006</c:v>
                </c:pt>
                <c:pt idx="6">
                  <c:v>32.400000000000006</c:v>
                </c:pt>
                <c:pt idx="7">
                  <c:v>32.400000000000006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32.400000000000006</c:v>
                </c:pt>
                <c:pt idx="12">
                  <c:v>32.400000000000006</c:v>
                </c:pt>
                <c:pt idx="13">
                  <c:v>32.400000000000006</c:v>
                </c:pt>
                <c:pt idx="14">
                  <c:v>32.400000000000006</c:v>
                </c:pt>
                <c:pt idx="15">
                  <c:v>32.400000000000006</c:v>
                </c:pt>
                <c:pt idx="16">
                  <c:v>32.400000000000006</c:v>
                </c:pt>
                <c:pt idx="17">
                  <c:v>32.400000000000006</c:v>
                </c:pt>
                <c:pt idx="18">
                  <c:v>32.400000000000006</c:v>
                </c:pt>
                <c:pt idx="19">
                  <c:v>32.400000000000006</c:v>
                </c:pt>
                <c:pt idx="20">
                  <c:v>32.400000000000006</c:v>
                </c:pt>
                <c:pt idx="21">
                  <c:v>32.400000000000006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67-462B-B43A-A723B328768B}"/>
            </c:ext>
          </c:extLst>
        </c:ser>
        <c:ser>
          <c:idx val="2"/>
          <c:order val="2"/>
          <c:tx>
            <c:strRef>
              <c:f>Technical!$L$46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Technical!$N$46:$AK$46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140.4</c:v>
                </c:pt>
                <c:pt idx="6">
                  <c:v>136.80000000000001</c:v>
                </c:pt>
                <c:pt idx="7">
                  <c:v>133.20000000000002</c:v>
                </c:pt>
                <c:pt idx="8">
                  <c:v>129.60000000000002</c:v>
                </c:pt>
                <c:pt idx="9">
                  <c:v>126.00000000000001</c:v>
                </c:pt>
                <c:pt idx="10">
                  <c:v>122.4</c:v>
                </c:pt>
                <c:pt idx="11">
                  <c:v>118.8</c:v>
                </c:pt>
                <c:pt idx="12">
                  <c:v>115.19999999999999</c:v>
                </c:pt>
                <c:pt idx="13">
                  <c:v>111.59999999999998</c:v>
                </c:pt>
                <c:pt idx="14">
                  <c:v>107.99999999999997</c:v>
                </c:pt>
                <c:pt idx="15">
                  <c:v>104.39999999999996</c:v>
                </c:pt>
                <c:pt idx="16">
                  <c:v>100.79999999999995</c:v>
                </c:pt>
                <c:pt idx="17">
                  <c:v>97.199999999999946</c:v>
                </c:pt>
                <c:pt idx="18">
                  <c:v>93.599999999999937</c:v>
                </c:pt>
                <c:pt idx="19">
                  <c:v>89.999999999999929</c:v>
                </c:pt>
                <c:pt idx="20">
                  <c:v>86.39999999999992</c:v>
                </c:pt>
                <c:pt idx="21">
                  <c:v>82.799999999999912</c:v>
                </c:pt>
                <c:pt idx="22">
                  <c:v>111.59999999999991</c:v>
                </c:pt>
                <c:pt idx="23">
                  <c:v>140.39999999999992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DE-4322-90C6-EE0580F71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971472"/>
        <c:axId val="551971800"/>
      </c:lineChart>
      <c:catAx>
        <c:axId val="5519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800"/>
        <c:crosses val="autoZero"/>
        <c:auto val="1"/>
        <c:lblAlgn val="ctr"/>
        <c:lblOffset val="100"/>
        <c:noMultiLvlLbl val="0"/>
      </c:catAx>
      <c:valAx>
        <c:axId val="55197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Technical!$L$47:$M$47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Technical!$N$47:$AK$47</c:f>
              <c:numCache>
                <c:formatCode>0%</c:formatCode>
                <c:ptCount val="24"/>
                <c:pt idx="0">
                  <c:v>8.1355932203389839E-2</c:v>
                </c:pt>
                <c:pt idx="1">
                  <c:v>0.16271186440677968</c:v>
                </c:pt>
                <c:pt idx="2">
                  <c:v>0.2440677966101695</c:v>
                </c:pt>
                <c:pt idx="3">
                  <c:v>0.32542372881355935</c:v>
                </c:pt>
                <c:pt idx="4">
                  <c:v>0.40677966101694918</c:v>
                </c:pt>
                <c:pt idx="5">
                  <c:v>0.39661016949152544</c:v>
                </c:pt>
                <c:pt idx="6">
                  <c:v>0.38644067796610171</c:v>
                </c:pt>
                <c:pt idx="7">
                  <c:v>0.37627118644067803</c:v>
                </c:pt>
                <c:pt idx="8">
                  <c:v>0.36610169491525429</c:v>
                </c:pt>
                <c:pt idx="9">
                  <c:v>0.35593220338983056</c:v>
                </c:pt>
                <c:pt idx="10">
                  <c:v>0.34576271186440677</c:v>
                </c:pt>
                <c:pt idx="11">
                  <c:v>0.33559322033898303</c:v>
                </c:pt>
                <c:pt idx="12">
                  <c:v>0.3254237288135593</c:v>
                </c:pt>
                <c:pt idx="13">
                  <c:v>0.31525423728813556</c:v>
                </c:pt>
                <c:pt idx="14">
                  <c:v>0.30508474576271177</c:v>
                </c:pt>
                <c:pt idx="15">
                  <c:v>0.29491525423728804</c:v>
                </c:pt>
                <c:pt idx="16">
                  <c:v>0.2847457627118643</c:v>
                </c:pt>
                <c:pt idx="17">
                  <c:v>0.27457627118644051</c:v>
                </c:pt>
                <c:pt idx="18">
                  <c:v>0.26440677966101678</c:v>
                </c:pt>
                <c:pt idx="19">
                  <c:v>0.25423728813559304</c:v>
                </c:pt>
                <c:pt idx="20">
                  <c:v>0.24406779661016928</c:v>
                </c:pt>
                <c:pt idx="21">
                  <c:v>0.23389830508474552</c:v>
                </c:pt>
                <c:pt idx="22">
                  <c:v>0.31525423728813534</c:v>
                </c:pt>
                <c:pt idx="23">
                  <c:v>0.39661016949152522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9B-4E30-A65D-F6470364A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Technical!$L$79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Technical!$N$79:$AK$79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32.400000000000006</c:v>
                </c:pt>
                <c:pt idx="6">
                  <c:v>32.400000000000006</c:v>
                </c:pt>
                <c:pt idx="7">
                  <c:v>32.400000000000006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32.400000000000006</c:v>
                </c:pt>
                <c:pt idx="12">
                  <c:v>32.400000000000006</c:v>
                </c:pt>
                <c:pt idx="13">
                  <c:v>32.400000000000006</c:v>
                </c:pt>
                <c:pt idx="14">
                  <c:v>32.400000000000006</c:v>
                </c:pt>
                <c:pt idx="15">
                  <c:v>32.400000000000006</c:v>
                </c:pt>
                <c:pt idx="16">
                  <c:v>32.400000000000006</c:v>
                </c:pt>
                <c:pt idx="17">
                  <c:v>32.400000000000006</c:v>
                </c:pt>
                <c:pt idx="18">
                  <c:v>32.400000000000006</c:v>
                </c:pt>
                <c:pt idx="19">
                  <c:v>32.400000000000006</c:v>
                </c:pt>
                <c:pt idx="20">
                  <c:v>32.400000000000006</c:v>
                </c:pt>
                <c:pt idx="21">
                  <c:v>32.400000000000006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E-444A-BAD9-A2FEFDB47AE1}"/>
            </c:ext>
          </c:extLst>
        </c:ser>
        <c:ser>
          <c:idx val="1"/>
          <c:order val="1"/>
          <c:tx>
            <c:strRef>
              <c:f>Technical!$L$81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Technical!$N$81:$AK$81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140.4</c:v>
                </c:pt>
                <c:pt idx="6">
                  <c:v>136.80000000000001</c:v>
                </c:pt>
                <c:pt idx="7">
                  <c:v>133.20000000000002</c:v>
                </c:pt>
                <c:pt idx="8">
                  <c:v>129.60000000000002</c:v>
                </c:pt>
                <c:pt idx="9">
                  <c:v>126.00000000000001</c:v>
                </c:pt>
                <c:pt idx="10">
                  <c:v>122.4</c:v>
                </c:pt>
                <c:pt idx="11">
                  <c:v>118.8</c:v>
                </c:pt>
                <c:pt idx="12">
                  <c:v>115.19999999999999</c:v>
                </c:pt>
                <c:pt idx="13">
                  <c:v>111.59999999999998</c:v>
                </c:pt>
                <c:pt idx="14">
                  <c:v>107.99999999999997</c:v>
                </c:pt>
                <c:pt idx="15">
                  <c:v>104.39999999999996</c:v>
                </c:pt>
                <c:pt idx="16">
                  <c:v>100.79999999999995</c:v>
                </c:pt>
                <c:pt idx="17">
                  <c:v>97.199999999999946</c:v>
                </c:pt>
                <c:pt idx="18">
                  <c:v>93.599999999999937</c:v>
                </c:pt>
                <c:pt idx="19">
                  <c:v>89.999999999999929</c:v>
                </c:pt>
                <c:pt idx="20">
                  <c:v>86.39999999999992</c:v>
                </c:pt>
                <c:pt idx="21">
                  <c:v>82.799999999999912</c:v>
                </c:pt>
                <c:pt idx="22">
                  <c:v>111.59999999999991</c:v>
                </c:pt>
                <c:pt idx="23">
                  <c:v>140.39999999999992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AE-444A-BAD9-A2FEFDB47AE1}"/>
            </c:ext>
          </c:extLst>
        </c:ser>
        <c:ser>
          <c:idx val="2"/>
          <c:order val="2"/>
          <c:tx>
            <c:strRef>
              <c:f>Technical!$L$73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Technical!$N$73:$AK$73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E-4CE7-A725-61554F921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213896"/>
        <c:axId val="811215864"/>
      </c:lineChart>
      <c:catAx>
        <c:axId val="81121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5864"/>
        <c:crosses val="autoZero"/>
        <c:auto val="1"/>
        <c:lblAlgn val="ctr"/>
        <c:lblOffset val="100"/>
        <c:noMultiLvlLbl val="0"/>
      </c:catAx>
      <c:valAx>
        <c:axId val="81121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Technical!$L$78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Technical!$N$78:$AK$78</c:f>
              <c:numCache>
                <c:formatCode>0%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C6AD-43C0-82C6-E2660218017B}"/>
            </c:ext>
          </c:extLst>
        </c:ser>
        <c:ser>
          <c:idx val="1"/>
          <c:order val="1"/>
          <c:tx>
            <c:strRef>
              <c:f>Technical!$L$82</c:f>
              <c:strCache>
                <c:ptCount val="1"/>
                <c:pt idx="0">
                  <c:v>ESS SoC (with load)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Technical!$N$82:$AK$82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0.3042253521126761</c:v>
                </c:pt>
                <c:pt idx="3">
                  <c:v>0.40563380281690142</c:v>
                </c:pt>
                <c:pt idx="4">
                  <c:v>0.50704225352112675</c:v>
                </c:pt>
                <c:pt idx="5">
                  <c:v>0.4943661971830986</c:v>
                </c:pt>
                <c:pt idx="6">
                  <c:v>0.48169014084507045</c:v>
                </c:pt>
                <c:pt idx="7">
                  <c:v>0.46901408450704229</c:v>
                </c:pt>
                <c:pt idx="8">
                  <c:v>0.45633802816901414</c:v>
                </c:pt>
                <c:pt idx="9">
                  <c:v>0.44366197183098599</c:v>
                </c:pt>
                <c:pt idx="10">
                  <c:v>0.43098591549295778</c:v>
                </c:pt>
                <c:pt idx="11">
                  <c:v>0.41830985915492958</c:v>
                </c:pt>
                <c:pt idx="12">
                  <c:v>0.40563380281690137</c:v>
                </c:pt>
                <c:pt idx="13">
                  <c:v>0.39295774647887316</c:v>
                </c:pt>
                <c:pt idx="14">
                  <c:v>0.38028169014084495</c:v>
                </c:pt>
                <c:pt idx="15">
                  <c:v>0.36760563380281674</c:v>
                </c:pt>
                <c:pt idx="16">
                  <c:v>0.35492957746478859</c:v>
                </c:pt>
                <c:pt idx="17">
                  <c:v>0.34225352112676038</c:v>
                </c:pt>
                <c:pt idx="18">
                  <c:v>0.32957746478873218</c:v>
                </c:pt>
                <c:pt idx="19">
                  <c:v>0.31690140845070397</c:v>
                </c:pt>
                <c:pt idx="20">
                  <c:v>0.30422535211267576</c:v>
                </c:pt>
                <c:pt idx="21">
                  <c:v>0.29154929577464755</c:v>
                </c:pt>
                <c:pt idx="22">
                  <c:v>0.39295774647887294</c:v>
                </c:pt>
                <c:pt idx="23">
                  <c:v>0.49436619718309832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D-43C0-82C6-E26602180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Technical!$EL$47:$EM$47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Technical!$EN$47:$FK$47</c:f>
              <c:numCache>
                <c:formatCode>0%</c:formatCode>
                <c:ptCount val="24"/>
                <c:pt idx="0">
                  <c:v>8.1355932203389839E-2</c:v>
                </c:pt>
                <c:pt idx="1">
                  <c:v>0.16271186440677968</c:v>
                </c:pt>
                <c:pt idx="2">
                  <c:v>0.15254237288135594</c:v>
                </c:pt>
                <c:pt idx="3">
                  <c:v>0.14237288135593218</c:v>
                </c:pt>
                <c:pt idx="4">
                  <c:v>0.13220338983050842</c:v>
                </c:pt>
                <c:pt idx="5">
                  <c:v>0.12203389830508467</c:v>
                </c:pt>
                <c:pt idx="6">
                  <c:v>0.11186440677966092</c:v>
                </c:pt>
                <c:pt idx="7">
                  <c:v>0.10169491525423717</c:v>
                </c:pt>
                <c:pt idx="8">
                  <c:v>0.18305084745762698</c:v>
                </c:pt>
                <c:pt idx="9">
                  <c:v>0.17288135593220325</c:v>
                </c:pt>
                <c:pt idx="10">
                  <c:v>0.16271186440677948</c:v>
                </c:pt>
                <c:pt idx="11">
                  <c:v>0.15254237288135572</c:v>
                </c:pt>
                <c:pt idx="12">
                  <c:v>0.14237288135593199</c:v>
                </c:pt>
                <c:pt idx="13">
                  <c:v>0.13220338983050822</c:v>
                </c:pt>
                <c:pt idx="14">
                  <c:v>0.12203389830508447</c:v>
                </c:pt>
                <c:pt idx="15">
                  <c:v>0.11186440677966072</c:v>
                </c:pt>
                <c:pt idx="16">
                  <c:v>0.10169491525423696</c:v>
                </c:pt>
                <c:pt idx="17">
                  <c:v>0.18305084745762679</c:v>
                </c:pt>
                <c:pt idx="18">
                  <c:v>0.17288135593220302</c:v>
                </c:pt>
                <c:pt idx="19">
                  <c:v>0.16271186440677929</c:v>
                </c:pt>
                <c:pt idx="20">
                  <c:v>0.15254237288135553</c:v>
                </c:pt>
                <c:pt idx="21">
                  <c:v>0.14237288135593179</c:v>
                </c:pt>
                <c:pt idx="22">
                  <c:v>0.13220338983050803</c:v>
                </c:pt>
                <c:pt idx="23">
                  <c:v>0.12203389830508427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D-41C9-8729-6A086FE4C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79744"/>
        <c:axId val="643180400"/>
      </c:lineChart>
      <c:catAx>
        <c:axId val="6431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80400"/>
        <c:crosses val="autoZero"/>
        <c:auto val="1"/>
        <c:lblAlgn val="ctr"/>
        <c:lblOffset val="100"/>
        <c:noMultiLvlLbl val="0"/>
      </c:catAx>
      <c:valAx>
        <c:axId val="6431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Technical!$L$38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Technical!$N$73:$AK$73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AE-46B2-98B3-2EFBDA2A711C}"/>
            </c:ext>
          </c:extLst>
        </c:ser>
        <c:ser>
          <c:idx val="0"/>
          <c:order val="1"/>
          <c:tx>
            <c:strRef>
              <c:f>Technical!$L$79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Technical!$N$79:$AK$79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32.400000000000006</c:v>
                </c:pt>
                <c:pt idx="6">
                  <c:v>32.400000000000006</c:v>
                </c:pt>
                <c:pt idx="7">
                  <c:v>32.400000000000006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32.400000000000006</c:v>
                </c:pt>
                <c:pt idx="12">
                  <c:v>32.400000000000006</c:v>
                </c:pt>
                <c:pt idx="13">
                  <c:v>32.400000000000006</c:v>
                </c:pt>
                <c:pt idx="14">
                  <c:v>32.400000000000006</c:v>
                </c:pt>
                <c:pt idx="15">
                  <c:v>32.400000000000006</c:v>
                </c:pt>
                <c:pt idx="16">
                  <c:v>32.400000000000006</c:v>
                </c:pt>
                <c:pt idx="17">
                  <c:v>32.400000000000006</c:v>
                </c:pt>
                <c:pt idx="18">
                  <c:v>32.400000000000006</c:v>
                </c:pt>
                <c:pt idx="19">
                  <c:v>32.400000000000006</c:v>
                </c:pt>
                <c:pt idx="20">
                  <c:v>32.400000000000006</c:v>
                </c:pt>
                <c:pt idx="21">
                  <c:v>32.400000000000006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AE-46B2-98B3-2EFBDA2A711C}"/>
            </c:ext>
          </c:extLst>
        </c:ser>
        <c:ser>
          <c:idx val="2"/>
          <c:order val="2"/>
          <c:tx>
            <c:strRef>
              <c:f>Technical!$L$81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Technical!$N$81:$AK$81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140.4</c:v>
                </c:pt>
                <c:pt idx="6">
                  <c:v>136.80000000000001</c:v>
                </c:pt>
                <c:pt idx="7">
                  <c:v>133.20000000000002</c:v>
                </c:pt>
                <c:pt idx="8">
                  <c:v>129.60000000000002</c:v>
                </c:pt>
                <c:pt idx="9">
                  <c:v>126.00000000000001</c:v>
                </c:pt>
                <c:pt idx="10">
                  <c:v>122.4</c:v>
                </c:pt>
                <c:pt idx="11">
                  <c:v>118.8</c:v>
                </c:pt>
                <c:pt idx="12">
                  <c:v>115.19999999999999</c:v>
                </c:pt>
                <c:pt idx="13">
                  <c:v>111.59999999999998</c:v>
                </c:pt>
                <c:pt idx="14">
                  <c:v>107.99999999999997</c:v>
                </c:pt>
                <c:pt idx="15">
                  <c:v>104.39999999999996</c:v>
                </c:pt>
                <c:pt idx="16">
                  <c:v>100.79999999999995</c:v>
                </c:pt>
                <c:pt idx="17">
                  <c:v>97.199999999999946</c:v>
                </c:pt>
                <c:pt idx="18">
                  <c:v>93.599999999999937</c:v>
                </c:pt>
                <c:pt idx="19">
                  <c:v>89.999999999999929</c:v>
                </c:pt>
                <c:pt idx="20">
                  <c:v>86.39999999999992</c:v>
                </c:pt>
                <c:pt idx="21">
                  <c:v>82.799999999999912</c:v>
                </c:pt>
                <c:pt idx="22">
                  <c:v>111.59999999999991</c:v>
                </c:pt>
                <c:pt idx="23">
                  <c:v>140.39999999999992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AE-46B2-98B3-2EFBDA2A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971472"/>
        <c:axId val="551971800"/>
      </c:lineChart>
      <c:catAx>
        <c:axId val="5519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800"/>
        <c:crosses val="autoZero"/>
        <c:auto val="1"/>
        <c:lblAlgn val="ctr"/>
        <c:lblOffset val="100"/>
        <c:noMultiLvlLbl val="0"/>
      </c:catAx>
      <c:valAx>
        <c:axId val="55197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Technical!$L$46:$M$46</c:f>
              <c:strCache>
                <c:ptCount val="2"/>
                <c:pt idx="0">
                  <c:v>ESS Charge (with load)</c:v>
                </c:pt>
                <c:pt idx="1">
                  <c:v>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Technical!$N$82:$AK$82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0.3042253521126761</c:v>
                </c:pt>
                <c:pt idx="3">
                  <c:v>0.40563380281690142</c:v>
                </c:pt>
                <c:pt idx="4">
                  <c:v>0.50704225352112675</c:v>
                </c:pt>
                <c:pt idx="5">
                  <c:v>0.4943661971830986</c:v>
                </c:pt>
                <c:pt idx="6">
                  <c:v>0.48169014084507045</c:v>
                </c:pt>
                <c:pt idx="7">
                  <c:v>0.46901408450704229</c:v>
                </c:pt>
                <c:pt idx="8">
                  <c:v>0.45633802816901414</c:v>
                </c:pt>
                <c:pt idx="9">
                  <c:v>0.44366197183098599</c:v>
                </c:pt>
                <c:pt idx="10">
                  <c:v>0.43098591549295778</c:v>
                </c:pt>
                <c:pt idx="11">
                  <c:v>0.41830985915492958</c:v>
                </c:pt>
                <c:pt idx="12">
                  <c:v>0.40563380281690137</c:v>
                </c:pt>
                <c:pt idx="13">
                  <c:v>0.39295774647887316</c:v>
                </c:pt>
                <c:pt idx="14">
                  <c:v>0.38028169014084495</c:v>
                </c:pt>
                <c:pt idx="15">
                  <c:v>0.36760563380281674</c:v>
                </c:pt>
                <c:pt idx="16">
                  <c:v>0.35492957746478859</c:v>
                </c:pt>
                <c:pt idx="17">
                  <c:v>0.34225352112676038</c:v>
                </c:pt>
                <c:pt idx="18">
                  <c:v>0.32957746478873218</c:v>
                </c:pt>
                <c:pt idx="19">
                  <c:v>0.31690140845070397</c:v>
                </c:pt>
                <c:pt idx="20">
                  <c:v>0.30422535211267576</c:v>
                </c:pt>
                <c:pt idx="21">
                  <c:v>0.29154929577464755</c:v>
                </c:pt>
                <c:pt idx="22">
                  <c:v>0.39295774647887294</c:v>
                </c:pt>
                <c:pt idx="23">
                  <c:v>0.49436619718309832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8-4193-9727-C33170212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Technical!$EL$82:$EM$82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Technical!$EN$82:$FK$82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0.19014084507042253</c:v>
                </c:pt>
                <c:pt idx="3">
                  <c:v>0.17746478873239432</c:v>
                </c:pt>
                <c:pt idx="4">
                  <c:v>0.16478873239436614</c:v>
                </c:pt>
                <c:pt idx="5">
                  <c:v>0.15211267605633794</c:v>
                </c:pt>
                <c:pt idx="6">
                  <c:v>0.13943661971830973</c:v>
                </c:pt>
                <c:pt idx="7">
                  <c:v>0.12676056338028155</c:v>
                </c:pt>
                <c:pt idx="8">
                  <c:v>0.11408450704225334</c:v>
                </c:pt>
                <c:pt idx="9">
                  <c:v>0.10140845070422515</c:v>
                </c:pt>
                <c:pt idx="10">
                  <c:v>0.20281690140845052</c:v>
                </c:pt>
                <c:pt idx="11">
                  <c:v>0.19014084507042234</c:v>
                </c:pt>
                <c:pt idx="12">
                  <c:v>0.17746478873239413</c:v>
                </c:pt>
                <c:pt idx="13">
                  <c:v>0.16478873239436595</c:v>
                </c:pt>
                <c:pt idx="14">
                  <c:v>0.15211267605633774</c:v>
                </c:pt>
                <c:pt idx="15">
                  <c:v>0.13943661971830953</c:v>
                </c:pt>
                <c:pt idx="16">
                  <c:v>0.12676056338028133</c:v>
                </c:pt>
                <c:pt idx="17">
                  <c:v>0.11408450704225315</c:v>
                </c:pt>
                <c:pt idx="18">
                  <c:v>0.10140845070422495</c:v>
                </c:pt>
                <c:pt idx="19">
                  <c:v>0.2028169014084503</c:v>
                </c:pt>
                <c:pt idx="20">
                  <c:v>0.19014084507042214</c:v>
                </c:pt>
                <c:pt idx="21">
                  <c:v>0.17746478873239394</c:v>
                </c:pt>
                <c:pt idx="22">
                  <c:v>0.16478873239436573</c:v>
                </c:pt>
                <c:pt idx="23">
                  <c:v>0.15211267605633755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1-4B84-8942-DD5FF02CD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79744"/>
        <c:axId val="643180400"/>
      </c:lineChart>
      <c:catAx>
        <c:axId val="6431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80400"/>
        <c:crosses val="autoZero"/>
        <c:auto val="1"/>
        <c:lblAlgn val="ctr"/>
        <c:lblOffset val="100"/>
        <c:noMultiLvlLbl val="0"/>
      </c:catAx>
      <c:valAx>
        <c:axId val="6431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Technical!$L$79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Technical!$N$79:$AK$79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32.400000000000006</c:v>
                </c:pt>
                <c:pt idx="6">
                  <c:v>32.400000000000006</c:v>
                </c:pt>
                <c:pt idx="7">
                  <c:v>32.400000000000006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32.400000000000006</c:v>
                </c:pt>
                <c:pt idx="12">
                  <c:v>32.400000000000006</c:v>
                </c:pt>
                <c:pt idx="13">
                  <c:v>32.400000000000006</c:v>
                </c:pt>
                <c:pt idx="14">
                  <c:v>32.400000000000006</c:v>
                </c:pt>
                <c:pt idx="15">
                  <c:v>32.400000000000006</c:v>
                </c:pt>
                <c:pt idx="16">
                  <c:v>32.400000000000006</c:v>
                </c:pt>
                <c:pt idx="17">
                  <c:v>32.400000000000006</c:v>
                </c:pt>
                <c:pt idx="18">
                  <c:v>32.400000000000006</c:v>
                </c:pt>
                <c:pt idx="19">
                  <c:v>32.400000000000006</c:v>
                </c:pt>
                <c:pt idx="20">
                  <c:v>32.400000000000006</c:v>
                </c:pt>
                <c:pt idx="21">
                  <c:v>32.400000000000006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C-4E6D-A6EA-DE6DA6C0EF7D}"/>
            </c:ext>
          </c:extLst>
        </c:ser>
        <c:ser>
          <c:idx val="1"/>
          <c:order val="1"/>
          <c:tx>
            <c:strRef>
              <c:f>Technical!$L$81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Technical!$N$81:$AK$81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140.4</c:v>
                </c:pt>
                <c:pt idx="6">
                  <c:v>136.80000000000001</c:v>
                </c:pt>
                <c:pt idx="7">
                  <c:v>133.20000000000002</c:v>
                </c:pt>
                <c:pt idx="8">
                  <c:v>129.60000000000002</c:v>
                </c:pt>
                <c:pt idx="9">
                  <c:v>126.00000000000001</c:v>
                </c:pt>
                <c:pt idx="10">
                  <c:v>122.4</c:v>
                </c:pt>
                <c:pt idx="11">
                  <c:v>118.8</c:v>
                </c:pt>
                <c:pt idx="12">
                  <c:v>115.19999999999999</c:v>
                </c:pt>
                <c:pt idx="13">
                  <c:v>111.59999999999998</c:v>
                </c:pt>
                <c:pt idx="14">
                  <c:v>107.99999999999997</c:v>
                </c:pt>
                <c:pt idx="15">
                  <c:v>104.39999999999996</c:v>
                </c:pt>
                <c:pt idx="16">
                  <c:v>100.79999999999995</c:v>
                </c:pt>
                <c:pt idx="17">
                  <c:v>97.199999999999946</c:v>
                </c:pt>
                <c:pt idx="18">
                  <c:v>93.599999999999937</c:v>
                </c:pt>
                <c:pt idx="19">
                  <c:v>89.999999999999929</c:v>
                </c:pt>
                <c:pt idx="20">
                  <c:v>86.39999999999992</c:v>
                </c:pt>
                <c:pt idx="21">
                  <c:v>82.799999999999912</c:v>
                </c:pt>
                <c:pt idx="22">
                  <c:v>111.59999999999991</c:v>
                </c:pt>
                <c:pt idx="23">
                  <c:v>140.39999999999992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DC-4E6D-A6EA-DE6DA6C0EF7D}"/>
            </c:ext>
          </c:extLst>
        </c:ser>
        <c:ser>
          <c:idx val="2"/>
          <c:order val="2"/>
          <c:tx>
            <c:strRef>
              <c:f>Technical!$L$73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Technical!$N$73:$AK$73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DC-4E6D-A6EA-DE6DA6C0E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213896"/>
        <c:axId val="811215864"/>
      </c:lineChart>
      <c:catAx>
        <c:axId val="81121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5864"/>
        <c:crosses val="autoZero"/>
        <c:auto val="1"/>
        <c:lblAlgn val="ctr"/>
        <c:lblOffset val="100"/>
        <c:noMultiLvlLbl val="0"/>
      </c:catAx>
      <c:valAx>
        <c:axId val="81121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Technical!$L$78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Technical!$N$78:$AK$78</c:f>
              <c:numCache>
                <c:formatCode>0%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2D1A-4674-B774-5B636A936D67}"/>
            </c:ext>
          </c:extLst>
        </c:ser>
        <c:ser>
          <c:idx val="1"/>
          <c:order val="1"/>
          <c:tx>
            <c:strRef>
              <c:f>Technical!$L$82</c:f>
              <c:strCache>
                <c:ptCount val="1"/>
                <c:pt idx="0">
                  <c:v>ESS SoC (with load)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Technical!$N$82:$AK$82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0.3042253521126761</c:v>
                </c:pt>
                <c:pt idx="3">
                  <c:v>0.40563380281690142</c:v>
                </c:pt>
                <c:pt idx="4">
                  <c:v>0.50704225352112675</c:v>
                </c:pt>
                <c:pt idx="5">
                  <c:v>0.4943661971830986</c:v>
                </c:pt>
                <c:pt idx="6">
                  <c:v>0.48169014084507045</c:v>
                </c:pt>
                <c:pt idx="7">
                  <c:v>0.46901408450704229</c:v>
                </c:pt>
                <c:pt idx="8">
                  <c:v>0.45633802816901414</c:v>
                </c:pt>
                <c:pt idx="9">
                  <c:v>0.44366197183098599</c:v>
                </c:pt>
                <c:pt idx="10">
                  <c:v>0.43098591549295778</c:v>
                </c:pt>
                <c:pt idx="11">
                  <c:v>0.41830985915492958</c:v>
                </c:pt>
                <c:pt idx="12">
                  <c:v>0.40563380281690137</c:v>
                </c:pt>
                <c:pt idx="13">
                  <c:v>0.39295774647887316</c:v>
                </c:pt>
                <c:pt idx="14">
                  <c:v>0.38028169014084495</c:v>
                </c:pt>
                <c:pt idx="15">
                  <c:v>0.36760563380281674</c:v>
                </c:pt>
                <c:pt idx="16">
                  <c:v>0.35492957746478859</c:v>
                </c:pt>
                <c:pt idx="17">
                  <c:v>0.34225352112676038</c:v>
                </c:pt>
                <c:pt idx="18">
                  <c:v>0.32957746478873218</c:v>
                </c:pt>
                <c:pt idx="19">
                  <c:v>0.31690140845070397</c:v>
                </c:pt>
                <c:pt idx="20">
                  <c:v>0.30422535211267576</c:v>
                </c:pt>
                <c:pt idx="21">
                  <c:v>0.29154929577464755</c:v>
                </c:pt>
                <c:pt idx="22">
                  <c:v>0.39295774647887294</c:v>
                </c:pt>
                <c:pt idx="23">
                  <c:v>0.49436619718309832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A-4674-B774-5B636A936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Technical!$L$38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Technical!$N$108:$AK$108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2-48F0-96D8-2E6BC583803A}"/>
            </c:ext>
          </c:extLst>
        </c:ser>
        <c:ser>
          <c:idx val="0"/>
          <c:order val="1"/>
          <c:tx>
            <c:strRef>
              <c:f>Technical!$L$114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Technical!$N$114:$AK$114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32.400000000000006</c:v>
                </c:pt>
                <c:pt idx="6">
                  <c:v>32.400000000000006</c:v>
                </c:pt>
                <c:pt idx="7">
                  <c:v>32.400000000000006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32.400000000000006</c:v>
                </c:pt>
                <c:pt idx="12">
                  <c:v>32.400000000000006</c:v>
                </c:pt>
                <c:pt idx="13">
                  <c:v>32.400000000000006</c:v>
                </c:pt>
                <c:pt idx="14">
                  <c:v>32.400000000000006</c:v>
                </c:pt>
                <c:pt idx="15">
                  <c:v>32.400000000000006</c:v>
                </c:pt>
                <c:pt idx="16">
                  <c:v>32.400000000000006</c:v>
                </c:pt>
                <c:pt idx="17">
                  <c:v>32.400000000000006</c:v>
                </c:pt>
                <c:pt idx="18">
                  <c:v>32.400000000000006</c:v>
                </c:pt>
                <c:pt idx="19">
                  <c:v>32.400000000000006</c:v>
                </c:pt>
                <c:pt idx="20">
                  <c:v>32.400000000000006</c:v>
                </c:pt>
                <c:pt idx="21">
                  <c:v>32.400000000000006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52-48F0-96D8-2E6BC583803A}"/>
            </c:ext>
          </c:extLst>
        </c:ser>
        <c:ser>
          <c:idx val="2"/>
          <c:order val="2"/>
          <c:tx>
            <c:strRef>
              <c:f>Technical!$L$116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Technical!$N$116:$AK$116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140.4</c:v>
                </c:pt>
                <c:pt idx="6">
                  <c:v>136.80000000000001</c:v>
                </c:pt>
                <c:pt idx="7">
                  <c:v>133.20000000000002</c:v>
                </c:pt>
                <c:pt idx="8">
                  <c:v>129.60000000000002</c:v>
                </c:pt>
                <c:pt idx="9">
                  <c:v>126.00000000000001</c:v>
                </c:pt>
                <c:pt idx="10">
                  <c:v>122.4</c:v>
                </c:pt>
                <c:pt idx="11">
                  <c:v>118.8</c:v>
                </c:pt>
                <c:pt idx="12">
                  <c:v>115.19999999999999</c:v>
                </c:pt>
                <c:pt idx="13">
                  <c:v>111.59999999999998</c:v>
                </c:pt>
                <c:pt idx="14">
                  <c:v>107.99999999999997</c:v>
                </c:pt>
                <c:pt idx="15">
                  <c:v>104.39999999999996</c:v>
                </c:pt>
                <c:pt idx="16">
                  <c:v>100.79999999999995</c:v>
                </c:pt>
                <c:pt idx="17">
                  <c:v>97.199999999999946</c:v>
                </c:pt>
                <c:pt idx="18">
                  <c:v>93.599999999999937</c:v>
                </c:pt>
                <c:pt idx="19">
                  <c:v>89.999999999999929</c:v>
                </c:pt>
                <c:pt idx="20">
                  <c:v>86.39999999999992</c:v>
                </c:pt>
                <c:pt idx="21">
                  <c:v>82.799999999999912</c:v>
                </c:pt>
                <c:pt idx="22">
                  <c:v>111.59999999999991</c:v>
                </c:pt>
                <c:pt idx="23">
                  <c:v>140.39999999999992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52-48F0-96D8-2E6BC583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971472"/>
        <c:axId val="551971800"/>
      </c:lineChart>
      <c:catAx>
        <c:axId val="5519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800"/>
        <c:crosses val="autoZero"/>
        <c:auto val="1"/>
        <c:lblAlgn val="ctr"/>
        <c:lblOffset val="100"/>
        <c:noMultiLvlLbl val="0"/>
      </c:catAx>
      <c:valAx>
        <c:axId val="55197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Technical!$L$46:$M$46</c:f>
              <c:strCache>
                <c:ptCount val="2"/>
                <c:pt idx="0">
                  <c:v>ESS Charge (with load)</c:v>
                </c:pt>
                <c:pt idx="1">
                  <c:v>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Technical!$N$117:$AK$117</c:f>
              <c:numCache>
                <c:formatCode>0%</c:formatCode>
                <c:ptCount val="24"/>
                <c:pt idx="0">
                  <c:v>8.8888888888888892E-2</c:v>
                </c:pt>
                <c:pt idx="1">
                  <c:v>0.17777777777777778</c:v>
                </c:pt>
                <c:pt idx="2">
                  <c:v>0.26666666666666666</c:v>
                </c:pt>
                <c:pt idx="3">
                  <c:v>0.35555555555555557</c:v>
                </c:pt>
                <c:pt idx="4">
                  <c:v>0.44444444444444442</c:v>
                </c:pt>
                <c:pt idx="5">
                  <c:v>0.43333333333333335</c:v>
                </c:pt>
                <c:pt idx="6">
                  <c:v>0.42222222222222228</c:v>
                </c:pt>
                <c:pt idx="7">
                  <c:v>0.41111111111111115</c:v>
                </c:pt>
                <c:pt idx="8">
                  <c:v>0.40000000000000008</c:v>
                </c:pt>
                <c:pt idx="9">
                  <c:v>0.38888888888888895</c:v>
                </c:pt>
                <c:pt idx="10">
                  <c:v>0.37777777777777777</c:v>
                </c:pt>
                <c:pt idx="11">
                  <c:v>0.36666666666666664</c:v>
                </c:pt>
                <c:pt idx="12">
                  <c:v>0.35555555555555551</c:v>
                </c:pt>
                <c:pt idx="13">
                  <c:v>0.34444444444444439</c:v>
                </c:pt>
                <c:pt idx="14">
                  <c:v>0.33333333333333326</c:v>
                </c:pt>
                <c:pt idx="15">
                  <c:v>0.32222222222222213</c:v>
                </c:pt>
                <c:pt idx="16">
                  <c:v>0.31111111111111095</c:v>
                </c:pt>
                <c:pt idx="17">
                  <c:v>0.29999999999999982</c:v>
                </c:pt>
                <c:pt idx="18">
                  <c:v>0.2888888888888887</c:v>
                </c:pt>
                <c:pt idx="19">
                  <c:v>0.27777777777777757</c:v>
                </c:pt>
                <c:pt idx="20">
                  <c:v>0.26666666666666644</c:v>
                </c:pt>
                <c:pt idx="21">
                  <c:v>0.25555555555555526</c:v>
                </c:pt>
                <c:pt idx="22">
                  <c:v>0.34444444444444416</c:v>
                </c:pt>
                <c:pt idx="23">
                  <c:v>0.43333333333333307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5-44CB-B869-89C7E3297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Technical!$EL$82:$EM$82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Technical!$EN$82:$FK$82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0.19014084507042253</c:v>
                </c:pt>
                <c:pt idx="3">
                  <c:v>0.17746478873239432</c:v>
                </c:pt>
                <c:pt idx="4">
                  <c:v>0.16478873239436614</c:v>
                </c:pt>
                <c:pt idx="5">
                  <c:v>0.15211267605633794</c:v>
                </c:pt>
                <c:pt idx="6">
                  <c:v>0.13943661971830973</c:v>
                </c:pt>
                <c:pt idx="7">
                  <c:v>0.12676056338028155</c:v>
                </c:pt>
                <c:pt idx="8">
                  <c:v>0.11408450704225334</c:v>
                </c:pt>
                <c:pt idx="9">
                  <c:v>0.10140845070422515</c:v>
                </c:pt>
                <c:pt idx="10">
                  <c:v>0.20281690140845052</c:v>
                </c:pt>
                <c:pt idx="11">
                  <c:v>0.19014084507042234</c:v>
                </c:pt>
                <c:pt idx="12">
                  <c:v>0.17746478873239413</c:v>
                </c:pt>
                <c:pt idx="13">
                  <c:v>0.16478873239436595</c:v>
                </c:pt>
                <c:pt idx="14">
                  <c:v>0.15211267605633774</c:v>
                </c:pt>
                <c:pt idx="15">
                  <c:v>0.13943661971830953</c:v>
                </c:pt>
                <c:pt idx="16">
                  <c:v>0.12676056338028133</c:v>
                </c:pt>
                <c:pt idx="17">
                  <c:v>0.11408450704225315</c:v>
                </c:pt>
                <c:pt idx="18">
                  <c:v>0.10140845070422495</c:v>
                </c:pt>
                <c:pt idx="19">
                  <c:v>0.2028169014084503</c:v>
                </c:pt>
                <c:pt idx="20">
                  <c:v>0.19014084507042214</c:v>
                </c:pt>
                <c:pt idx="21">
                  <c:v>0.17746478873239394</c:v>
                </c:pt>
                <c:pt idx="22">
                  <c:v>0.16478873239436573</c:v>
                </c:pt>
                <c:pt idx="23">
                  <c:v>0.15211267605633755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1-4D90-BD4A-3183C495A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79744"/>
        <c:axId val="643180400"/>
      </c:lineChart>
      <c:catAx>
        <c:axId val="6431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80400"/>
        <c:crosses val="autoZero"/>
        <c:auto val="1"/>
        <c:lblAlgn val="ctr"/>
        <c:lblOffset val="100"/>
        <c:noMultiLvlLbl val="0"/>
      </c:catAx>
      <c:valAx>
        <c:axId val="6431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Financial!$Z$91</c:f>
              <c:strCache>
                <c:ptCount val="1"/>
                <c:pt idx="0">
                  <c:v>Exicom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Financial!$Z$92:$Z$109</c:f>
              <c:numCache>
                <c:formatCode>_(* #,##0_);_(* \(#,##0\);_(* "-"??_);_(@_)</c:formatCode>
                <c:ptCount val="18"/>
                <c:pt idx="0">
                  <c:v>-1069627.8925967796</c:v>
                </c:pt>
                <c:pt idx="1">
                  <c:v>-1005604.1185663701</c:v>
                </c:pt>
                <c:pt idx="2">
                  <c:v>-941580.3445359607</c:v>
                </c:pt>
                <c:pt idx="3">
                  <c:v>-877556.5705055513</c:v>
                </c:pt>
                <c:pt idx="4">
                  <c:v>-813532.79647514166</c:v>
                </c:pt>
                <c:pt idx="5">
                  <c:v>-749509.02244473225</c:v>
                </c:pt>
                <c:pt idx="6">
                  <c:v>-682503.70942502096</c:v>
                </c:pt>
                <c:pt idx="7">
                  <c:v>-615498.39640530956</c:v>
                </c:pt>
                <c:pt idx="8">
                  <c:v>-545255.7989238156</c:v>
                </c:pt>
                <c:pt idx="9">
                  <c:v>-475013.20144232176</c:v>
                </c:pt>
                <c:pt idx="10">
                  <c:v>-401255.63711850147</c:v>
                </c:pt>
                <c:pt idx="11">
                  <c:v>-312547.09260060627</c:v>
                </c:pt>
                <c:pt idx="12">
                  <c:v>-248742.91323712908</c:v>
                </c:pt>
                <c:pt idx="13">
                  <c:v>-199889.71406772637</c:v>
                </c:pt>
                <c:pt idx="14">
                  <c:v>-163126.10490448572</c:v>
                </c:pt>
                <c:pt idx="15">
                  <c:v>-126362.49574124496</c:v>
                </c:pt>
                <c:pt idx="16">
                  <c:v>-89598.88657800408</c:v>
                </c:pt>
                <c:pt idx="17">
                  <c:v>-70461.141047946381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E-4372-964E-B5B1BBCC2ED9}"/>
            </c:ext>
          </c:extLst>
        </c:ser>
        <c:ser>
          <c:idx val="1"/>
          <c:order val="1"/>
          <c:tx>
            <c:strRef>
              <c:f>Financial!$AA$91</c:f>
              <c:strCache>
                <c:ptCount val="1"/>
                <c:pt idx="0">
                  <c:v>Durapower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Financial!$AA$92:$AA$109</c:f>
              <c:numCache>
                <c:formatCode>_(* #,##0_);_(* \(#,##0\);_(* "-"??_);_(@_)</c:formatCode>
                <c:ptCount val="18"/>
                <c:pt idx="0">
                  <c:v>-924083.2234883213</c:v>
                </c:pt>
                <c:pt idx="1">
                  <c:v>-856806.28007974382</c:v>
                </c:pt>
                <c:pt idx="2">
                  <c:v>-789529.33667116694</c:v>
                </c:pt>
                <c:pt idx="3">
                  <c:v>-722252.3932625897</c:v>
                </c:pt>
                <c:pt idx="4">
                  <c:v>-654975.44985401223</c:v>
                </c:pt>
                <c:pt idx="5">
                  <c:v>-587698.50644543534</c:v>
                </c:pt>
                <c:pt idx="6">
                  <c:v>-516446.17771778902</c:v>
                </c:pt>
                <c:pt idx="7">
                  <c:v>-445193.84899014269</c:v>
                </c:pt>
                <c:pt idx="8">
                  <c:v>-369625.14098011958</c:v>
                </c:pt>
                <c:pt idx="9">
                  <c:v>-294056.43297009653</c:v>
                </c:pt>
                <c:pt idx="10">
                  <c:v>-213801.10250363834</c:v>
                </c:pt>
                <c:pt idx="11">
                  <c:v>-116915.88610336545</c:v>
                </c:pt>
                <c:pt idx="12">
                  <c:v>-46888.056850750581</c:v>
                </c:pt>
                <c:pt idx="13">
                  <c:v>6509.8864680493425</c:v>
                </c:pt>
                <c:pt idx="14">
                  <c:v>47401.82926804942</c:v>
                </c:pt>
                <c:pt idx="15">
                  <c:v>88293.77206804938</c:v>
                </c:pt>
                <c:pt idx="16">
                  <c:v>129185.71486804934</c:v>
                </c:pt>
                <c:pt idx="17">
                  <c:v>150472.51486804939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AE-4372-964E-B5B1BBCC2ED9}"/>
            </c:ext>
          </c:extLst>
        </c:ser>
        <c:ser>
          <c:idx val="2"/>
          <c:order val="2"/>
          <c:tx>
            <c:strRef>
              <c:f>Financial!$AB$91</c:f>
              <c:strCache>
                <c:ptCount val="1"/>
                <c:pt idx="0">
                  <c:v>Wanke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Financial!$AB$92:$AB$109</c:f>
              <c:numCache>
                <c:formatCode>_(* #,##0_);_(* \(#,##0\);_(* "-"??_);_(@_)</c:formatCode>
                <c:ptCount val="18"/>
                <c:pt idx="0">
                  <c:v>-766188.13964153582</c:v>
                </c:pt>
                <c:pt idx="1">
                  <c:v>-698911.19623295858</c:v>
                </c:pt>
                <c:pt idx="2">
                  <c:v>-631634.25282438134</c:v>
                </c:pt>
                <c:pt idx="3">
                  <c:v>-564357.30941580422</c:v>
                </c:pt>
                <c:pt idx="4">
                  <c:v>-497080.36600722693</c:v>
                </c:pt>
                <c:pt idx="5">
                  <c:v>-429803.42259864986</c:v>
                </c:pt>
                <c:pt idx="6">
                  <c:v>-358551.09387100372</c:v>
                </c:pt>
                <c:pt idx="7">
                  <c:v>-287298.76514335745</c:v>
                </c:pt>
                <c:pt idx="8">
                  <c:v>-211730.05713333428</c:v>
                </c:pt>
                <c:pt idx="9">
                  <c:v>-136161.34912331143</c:v>
                </c:pt>
                <c:pt idx="10">
                  <c:v>-55906.018656853121</c:v>
                </c:pt>
                <c:pt idx="11">
                  <c:v>40979.197743420023</c:v>
                </c:pt>
                <c:pt idx="12">
                  <c:v>111007.02699603472</c:v>
                </c:pt>
                <c:pt idx="13">
                  <c:v>164404.97031483479</c:v>
                </c:pt>
                <c:pt idx="14">
                  <c:v>205296.91311483475</c:v>
                </c:pt>
                <c:pt idx="15">
                  <c:v>246188.85591483474</c:v>
                </c:pt>
                <c:pt idx="16">
                  <c:v>287080.79871483485</c:v>
                </c:pt>
                <c:pt idx="17">
                  <c:v>308367.59871483489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AE-4372-964E-B5B1BBCC2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27792"/>
        <c:axId val="681333040"/>
      </c:lineChart>
      <c:catAx>
        <c:axId val="68132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33040"/>
        <c:crosses val="autoZero"/>
        <c:auto val="1"/>
        <c:lblAlgn val="ctr"/>
        <c:lblOffset val="100"/>
        <c:noMultiLvlLbl val="0"/>
      </c:catAx>
      <c:valAx>
        <c:axId val="68133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2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Financial!$AC$91</c:f>
              <c:strCache>
                <c:ptCount val="1"/>
                <c:pt idx="0">
                  <c:v>Exicom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Financial!$AC$92:$AC$109</c:f>
              <c:numCache>
                <c:formatCode>0%</c:formatCode>
                <c:ptCount val="18"/>
                <c:pt idx="0">
                  <c:v>-0.30679653460337963</c:v>
                </c:pt>
                <c:pt idx="1">
                  <c:v>-0.27625568213601814</c:v>
                </c:pt>
                <c:pt idx="2">
                  <c:v>-0.24787758403936999</c:v>
                </c:pt>
                <c:pt idx="3">
                  <c:v>-0.22124704958953001</c:v>
                </c:pt>
                <c:pt idx="4">
                  <c:v>-0.1960597133255324</c:v>
                </c:pt>
                <c:pt idx="5">
                  <c:v>-0.17208541793937693</c:v>
                </c:pt>
                <c:pt idx="6">
                  <c:v>-0.1474817665045266</c:v>
                </c:pt>
                <c:pt idx="7">
                  <c:v>-0.12404298608516429</c:v>
                </c:pt>
                <c:pt idx="8">
                  <c:v>-0.1003477977213586</c:v>
                </c:pt>
                <c:pt idx="9">
                  <c:v>-7.7646145066137207E-2</c:v>
                </c:pt>
                <c:pt idx="10">
                  <c:v>-5.475206949892808E-2</c:v>
                </c:pt>
                <c:pt idx="11">
                  <c:v>-2.7825062626916086E-2</c:v>
                </c:pt>
                <c:pt idx="12">
                  <c:v>-1.037653757217627E-2</c:v>
                </c:pt>
                <c:pt idx="13">
                  <c:v>2.4125095964946386E-3</c:v>
                </c:pt>
                <c:pt idx="14">
                  <c:v>1.1731994057059936E-2</c:v>
                </c:pt>
                <c:pt idx="15">
                  <c:v>2.1206688357433334E-2</c:v>
                </c:pt>
                <c:pt idx="16">
                  <c:v>3.0836883244208968E-2</c:v>
                </c:pt>
                <c:pt idx="17">
                  <c:v>3.5796377380399313E-2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2A-453C-9DF4-D766A0440DB1}"/>
            </c:ext>
          </c:extLst>
        </c:ser>
        <c:ser>
          <c:idx val="1"/>
          <c:order val="1"/>
          <c:tx>
            <c:strRef>
              <c:f>Financial!$AD$91</c:f>
              <c:strCache>
                <c:ptCount val="1"/>
                <c:pt idx="0">
                  <c:v>Durapower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Financial!$AD$92:$AD$109</c:f>
              <c:numCache>
                <c:formatCode>0%</c:formatCode>
                <c:ptCount val="18"/>
                <c:pt idx="0">
                  <c:v>-0.28468567175278636</c:v>
                </c:pt>
                <c:pt idx="1">
                  <c:v>-0.25243451096892044</c:v>
                </c:pt>
                <c:pt idx="2">
                  <c:v>-0.2223806210678253</c:v>
                </c:pt>
                <c:pt idx="3">
                  <c:v>-0.19410328814820998</c:v>
                </c:pt>
                <c:pt idx="4">
                  <c:v>-0.16729336482103485</c:v>
                </c:pt>
                <c:pt idx="5">
                  <c:v>-0.14171664455063804</c:v>
                </c:pt>
                <c:pt idx="6">
                  <c:v>-0.11551388264216278</c:v>
                </c:pt>
                <c:pt idx="7">
                  <c:v>-9.049587382349733E-2</c:v>
                </c:pt>
                <c:pt idx="8">
                  <c:v>-6.5181320484624439E-2</c:v>
                </c:pt>
                <c:pt idx="9">
                  <c:v>-4.0881007893183829E-2</c:v>
                </c:pt>
                <c:pt idx="10">
                  <c:v>-1.6314490234135226E-2</c:v>
                </c:pt>
                <c:pt idx="11">
                  <c:v>1.2461356646146671E-2</c:v>
                </c:pt>
                <c:pt idx="12">
                  <c:v>3.1677819190822909E-2</c:v>
                </c:pt>
                <c:pt idx="13">
                  <c:v>4.6069819557657876E-2</c:v>
                </c:pt>
                <c:pt idx="14">
                  <c:v>5.6833629505211869E-2</c:v>
                </c:pt>
                <c:pt idx="15">
                  <c:v>6.7793117600539743E-2</c:v>
                </c:pt>
                <c:pt idx="16">
                  <c:v>7.894858285261952E-2</c:v>
                </c:pt>
                <c:pt idx="17">
                  <c:v>8.4830812670517064E-2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2A-453C-9DF4-D766A0440DB1}"/>
            </c:ext>
          </c:extLst>
        </c:ser>
        <c:ser>
          <c:idx val="2"/>
          <c:order val="2"/>
          <c:tx>
            <c:strRef>
              <c:f>Financial!$AE$91</c:f>
              <c:strCache>
                <c:ptCount val="1"/>
                <c:pt idx="0">
                  <c:v>Wanke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Financial!$AE$92:$AE$109</c:f>
              <c:numCache>
                <c:formatCode>0%</c:formatCode>
                <c:ptCount val="18"/>
                <c:pt idx="0">
                  <c:v>-0.27470293599357598</c:v>
                </c:pt>
                <c:pt idx="1">
                  <c:v>-0.24080522534139548</c:v>
                </c:pt>
                <c:pt idx="2">
                  <c:v>-0.20921965794107156</c:v>
                </c:pt>
                <c:pt idx="3">
                  <c:v>-0.17949587863265748</c:v>
                </c:pt>
                <c:pt idx="4">
                  <c:v>-0.15130452229100899</c:v>
                </c:pt>
                <c:pt idx="5">
                  <c:v>-0.12439703495504273</c:v>
                </c:pt>
                <c:pt idx="6">
                  <c:v>-9.6761635125835466E-2</c:v>
                </c:pt>
                <c:pt idx="7">
                  <c:v>-7.0374016986056387E-2</c:v>
                </c:pt>
                <c:pt idx="8">
                  <c:v>-4.3603521578939985E-2</c:v>
                </c:pt>
                <c:pt idx="9">
                  <c:v>-1.7905386704041848E-2</c:v>
                </c:pt>
                <c:pt idx="10">
                  <c:v>8.158173648299849E-3</c:v>
                </c:pt>
                <c:pt idx="11">
                  <c:v>3.8597721657183559E-2</c:v>
                </c:pt>
                <c:pt idx="12">
                  <c:v>5.9314345387403211E-2</c:v>
                </c:pt>
                <c:pt idx="13">
                  <c:v>7.5017818324035979E-2</c:v>
                </c:pt>
                <c:pt idx="14">
                  <c:v>8.7006644427750413E-2</c:v>
                </c:pt>
                <c:pt idx="15">
                  <c:v>9.922861460856458E-2</c:v>
                </c:pt>
                <c:pt idx="16">
                  <c:v>0.11168395273805354</c:v>
                </c:pt>
                <c:pt idx="17">
                  <c:v>0.11835365550526356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2A-453C-9DF4-D766A0440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27792"/>
        <c:axId val="681333040"/>
      </c:lineChart>
      <c:catAx>
        <c:axId val="68132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33040"/>
        <c:crosses val="autoZero"/>
        <c:auto val="1"/>
        <c:lblAlgn val="ctr"/>
        <c:lblOffset val="100"/>
        <c:noMultiLvlLbl val="0"/>
      </c:catAx>
      <c:valAx>
        <c:axId val="68133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2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96583958917186"/>
          <c:y val="4.2145593869731802E-2"/>
          <c:w val="0.77138728912828836"/>
          <c:h val="0.797413340573807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'Scenario Summary'!$C$8</c:f>
              <c:strCache>
                <c:ptCount val="1"/>
                <c:pt idx="0">
                  <c:v>Charging Strategy 1: Grid --&gt; ESS --&gt; Charger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'Scenario Summary'!$E$3:$G$3</c:f>
              <c:strCache>
                <c:ptCount val="3"/>
                <c:pt idx="0">
                  <c:v>Low</c:v>
                </c:pt>
                <c:pt idx="1">
                  <c:v>Med</c:v>
                </c:pt>
                <c:pt idx="2">
                  <c:v>High</c:v>
                </c:pt>
              </c:strCache>
            </c:strRef>
          </c:cat>
          <c:val>
            <c:numRef>
              <c:f>'Scenario Summary'!$E$8:$G$8</c:f>
              <c:numCache>
                <c:formatCode>_(* #,##0_);_(* \(#,##0\);_(* "-"??_);_(@_)</c:formatCode>
                <c:ptCount val="3"/>
                <c:pt idx="0">
                  <c:v>-442884.24787864101</c:v>
                </c:pt>
                <c:pt idx="1">
                  <c:v>366728.47822994099</c:v>
                </c:pt>
                <c:pt idx="2">
                  <c:v>949874.03515924199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5-4239-ABF8-A3B356A9268E}"/>
            </c:ext>
          </c:extLst>
        </c:ser>
        <c:ser>
          <c:idx val="1"/>
          <c:order val="1"/>
          <c:tx>
            <c:strRef>
              <c:f>'Scenario Summary'!$C$9</c:f>
              <c:strCache>
                <c:ptCount val="1"/>
                <c:pt idx="0">
                  <c:v>Charging Strategy 2: Grid + ESS --&gt; Charger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Summary'!$E$3:$G$3</c:f>
              <c:strCache>
                <c:ptCount val="3"/>
                <c:pt idx="0">
                  <c:v>Low</c:v>
                </c:pt>
                <c:pt idx="1">
                  <c:v>Med</c:v>
                </c:pt>
                <c:pt idx="2">
                  <c:v>High</c:v>
                </c:pt>
              </c:strCache>
            </c:strRef>
          </c:cat>
          <c:val>
            <c:numRef>
              <c:f>'Scenario Summary'!$E$9:$G$9</c:f>
              <c:numCache>
                <c:formatCode>_(* #,##0_);_(* \(#,##0\);_(* "-"??_);_(@_)</c:formatCode>
                <c:ptCount val="3"/>
                <c:pt idx="0">
                  <c:v>-25760.999862768302</c:v>
                </c:pt>
                <c:pt idx="1">
                  <c:v>1675328.4175970501</c:v>
                </c:pt>
                <c:pt idx="2">
                  <c:v>2671231.4949870599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E5-4239-ABF8-A3B356A92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6877008"/>
        <c:axId val="876877664"/>
      </c:barChart>
      <c:catAx>
        <c:axId val="87687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877664"/>
        <c:crosses val="autoZero"/>
        <c:auto val="1"/>
        <c:lblAlgn val="ctr"/>
        <c:lblOffset val="100"/>
        <c:noMultiLvlLbl val="0"/>
      </c:catAx>
      <c:valAx>
        <c:axId val="87687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NPV (RM)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87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7753756026354971E-2"/>
          <c:y val="0.86103478444504766"/>
          <c:w val="0.83213935922982996"/>
          <c:h val="0.114575074667390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comparison in low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Summary 2'!$J$20</c:f>
              <c:strCache>
                <c:ptCount val="1"/>
                <c:pt idx="0">
                  <c:v>Strategy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2'!$K$20:$O$20</c:f>
              <c:numCache>
                <c:formatCode>_(* #,##0_);_(* \(#,##0\);_(* "-"??_);_(@_)</c:formatCode>
                <c:ptCount val="5"/>
                <c:pt idx="0">
                  <c:v>156103.20000000001</c:v>
                </c:pt>
                <c:pt idx="1">
                  <c:v>312206.40000000002</c:v>
                </c:pt>
                <c:pt idx="2">
                  <c:v>390258</c:v>
                </c:pt>
                <c:pt idx="3">
                  <c:v>468309.6</c:v>
                </c:pt>
                <c:pt idx="4">
                  <c:v>546361.19999999995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4-4E08-A247-2124C8BA9F9E}"/>
            </c:ext>
          </c:extLst>
        </c:ser>
        <c:ser>
          <c:idx val="1"/>
          <c:order val="1"/>
          <c:tx>
            <c:strRef>
              <c:f>'Scenario Summary 2'!$J$21</c:f>
              <c:strCache>
                <c:ptCount val="1"/>
                <c:pt idx="0">
                  <c:v>Strategy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2'!$K$21:$O$21</c:f>
              <c:numCache>
                <c:formatCode>_(* #,##0_);_(* \(#,##0\);_(* "-"??_);_(@_)</c:formatCode>
                <c:ptCount val="5"/>
                <c:pt idx="0">
                  <c:v>157516.80031509401</c:v>
                </c:pt>
                <c:pt idx="1">
                  <c:v>312206.40000000002</c:v>
                </c:pt>
                <c:pt idx="2">
                  <c:v>468309.6</c:v>
                </c:pt>
                <c:pt idx="3">
                  <c:v>624412.80000000005</c:v>
                </c:pt>
                <c:pt idx="4">
                  <c:v>780516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4-4E08-A247-2124C8BA9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020880"/>
        <c:axId val="808018584"/>
      </c:barChart>
      <c:catAx>
        <c:axId val="808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18584"/>
        <c:crosses val="autoZero"/>
        <c:auto val="1"/>
        <c:lblAlgn val="ctr"/>
        <c:lblOffset val="100"/>
        <c:noMultiLvlLbl val="0"/>
      </c:catAx>
      <c:valAx>
        <c:axId val="808018584"/>
        <c:scaling>
          <c:orientation val="minMax"/>
          <c:max val="1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comparison in</a:t>
            </a:r>
            <a:r>
              <a:rPr lang="en-US" baseline="0"/>
              <a:t> high demand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Summary 2'!$J$25</c:f>
              <c:strCache>
                <c:ptCount val="1"/>
                <c:pt idx="0">
                  <c:v>Strategy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2'!$K$25:$O$25</c:f>
              <c:numCache>
                <c:formatCode>_(* #,##0_);_(* \(#,##0\);_(* "-"??_);_(@_)</c:formatCode>
                <c:ptCount val="5"/>
                <c:pt idx="0">
                  <c:v>702464.4</c:v>
                </c:pt>
                <c:pt idx="1">
                  <c:v>702464.4</c:v>
                </c:pt>
                <c:pt idx="2">
                  <c:v>780516</c:v>
                </c:pt>
                <c:pt idx="3">
                  <c:v>858567.6</c:v>
                </c:pt>
                <c:pt idx="4">
                  <c:v>858567.6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E-4B8F-A965-04F5C5B87BFE}"/>
            </c:ext>
          </c:extLst>
        </c:ser>
        <c:ser>
          <c:idx val="1"/>
          <c:order val="1"/>
          <c:tx>
            <c:strRef>
              <c:f>'Scenario Summary 2'!$J$26</c:f>
              <c:strCache>
                <c:ptCount val="1"/>
                <c:pt idx="0">
                  <c:v>Strategy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2'!$K$26:$O$26</c:f>
              <c:numCache>
                <c:formatCode>_(* #,##0_);_(* \(#,##0\);_(* "-"??_);_(@_)</c:formatCode>
                <c:ptCount val="5"/>
                <c:pt idx="0">
                  <c:v>1092722.3999999999</c:v>
                </c:pt>
                <c:pt idx="1">
                  <c:v>1092722.3999999999</c:v>
                </c:pt>
                <c:pt idx="2">
                  <c:v>1170774</c:v>
                </c:pt>
                <c:pt idx="3">
                  <c:v>1170774</c:v>
                </c:pt>
                <c:pt idx="4">
                  <c:v>1170774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FE-4B8F-A965-04F5C5B8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020880"/>
        <c:axId val="808018584"/>
      </c:barChart>
      <c:catAx>
        <c:axId val="808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18584"/>
        <c:crosses val="autoZero"/>
        <c:auto val="1"/>
        <c:lblAlgn val="ctr"/>
        <c:lblOffset val="100"/>
        <c:noMultiLvlLbl val="0"/>
      </c:catAx>
      <c:valAx>
        <c:axId val="80801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521299</xdr:colOff>
      <xdr:row>19</xdr:row>
      <xdr:rowOff>5632</xdr:rowOff>
    </xdr:from>
    <xdr:to>
      <xdr:col>17</xdr:col>
      <xdr:colOff>567861</xdr:colOff>
      <xdr:row>34</xdr:row>
      <xdr:rowOff>125426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7101F2-6D30-4C67-A11A-1EBBF9F648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284469</xdr:colOff>
      <xdr:row>19</xdr:row>
      <xdr:rowOff>199946</xdr:rowOff>
    </xdr:from>
    <xdr:to>
      <xdr:col>26</xdr:col>
      <xdr:colOff>15529</xdr:colOff>
      <xdr:row>34</xdr:row>
      <xdr:rowOff>87327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B36CAFF-4AE0-4FA1-8FA5-9F1C9C52D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38100</xdr:colOff>
      <xdr:row>55</xdr:row>
      <xdr:rowOff>19050</xdr:rowOff>
    </xdr:from>
    <xdr:to>
      <xdr:col>17</xdr:col>
      <xdr:colOff>66675</xdr:colOff>
      <xdr:row>69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D8BABA1-42E1-4BF9-9026-C5E44A903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95250</xdr:colOff>
      <xdr:row>54</xdr:row>
      <xdr:rowOff>142875</xdr:rowOff>
    </xdr:from>
    <xdr:to>
      <xdr:col>25</xdr:col>
      <xdr:colOff>435910</xdr:colOff>
      <xdr:row>69</xdr:row>
      <xdr:rowOff>30256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0D95B1-478A-454F-B8C9-F86997512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157</xdr:col>
      <xdr:colOff>72837</xdr:colOff>
      <xdr:row>19</xdr:row>
      <xdr:rowOff>141194</xdr:rowOff>
    </xdr:from>
    <xdr:to>
      <xdr:col>164</xdr:col>
      <xdr:colOff>409013</xdr:colOff>
      <xdr:row>34</xdr:row>
      <xdr:rowOff>15688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D0ECF8-AE67-493E-8195-772760EE1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521299</xdr:colOff>
      <xdr:row>54</xdr:row>
      <xdr:rowOff>5632</xdr:rowOff>
    </xdr:from>
    <xdr:to>
      <xdr:col>17</xdr:col>
      <xdr:colOff>567861</xdr:colOff>
      <xdr:row>69</xdr:row>
      <xdr:rowOff>125426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5EA2294-368D-4031-A300-8F9A23167D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284469</xdr:colOff>
      <xdr:row>54</xdr:row>
      <xdr:rowOff>199946</xdr:rowOff>
    </xdr:from>
    <xdr:to>
      <xdr:col>26</xdr:col>
      <xdr:colOff>15529</xdr:colOff>
      <xdr:row>69</xdr:row>
      <xdr:rowOff>87327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4A44FF7-75C6-4EAE-965A-A1D709DC1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157</xdr:col>
      <xdr:colOff>72837</xdr:colOff>
      <xdr:row>54</xdr:row>
      <xdr:rowOff>141194</xdr:rowOff>
    </xdr:from>
    <xdr:to>
      <xdr:col>164</xdr:col>
      <xdr:colOff>409013</xdr:colOff>
      <xdr:row>69</xdr:row>
      <xdr:rowOff>15688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6901897-15EB-4E5D-9845-13B6BFF4E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90</xdr:row>
      <xdr:rowOff>19050</xdr:rowOff>
    </xdr:from>
    <xdr:to>
      <xdr:col>17</xdr:col>
      <xdr:colOff>66675</xdr:colOff>
      <xdr:row>104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D184639-202F-472E-8890-DB0D214F3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95250</xdr:colOff>
      <xdr:row>89</xdr:row>
      <xdr:rowOff>142875</xdr:rowOff>
    </xdr:from>
    <xdr:to>
      <xdr:col>25</xdr:col>
      <xdr:colOff>435910</xdr:colOff>
      <xdr:row>104</xdr:row>
      <xdr:rowOff>30256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6463D18-E602-4402-9022-A0C7F6DED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521299</xdr:colOff>
      <xdr:row>89</xdr:row>
      <xdr:rowOff>5632</xdr:rowOff>
    </xdr:from>
    <xdr:to>
      <xdr:col>17</xdr:col>
      <xdr:colOff>567861</xdr:colOff>
      <xdr:row>104</xdr:row>
      <xdr:rowOff>125426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C35D12E-9920-4690-BBB8-56EB8BE59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284469</xdr:colOff>
      <xdr:row>89</xdr:row>
      <xdr:rowOff>199946</xdr:rowOff>
    </xdr:from>
    <xdr:to>
      <xdr:col>26</xdr:col>
      <xdr:colOff>15529</xdr:colOff>
      <xdr:row>104</xdr:row>
      <xdr:rowOff>87327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4FE8930-C187-470E-81FB-DC8185597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157</xdr:col>
      <xdr:colOff>72837</xdr:colOff>
      <xdr:row>89</xdr:row>
      <xdr:rowOff>141194</xdr:rowOff>
    </xdr:from>
    <xdr:to>
      <xdr:col>164</xdr:col>
      <xdr:colOff>409013</xdr:colOff>
      <xdr:row>104</xdr:row>
      <xdr:rowOff>15688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62F9468-1DC8-4774-AC98-2D00F86B4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386602</xdr:colOff>
      <xdr:row>89</xdr:row>
      <xdr:rowOff>152400</xdr:rowOff>
    </xdr:from>
    <xdr:to>
      <xdr:col>17</xdr:col>
      <xdr:colOff>33618</xdr:colOff>
      <xdr:row>105</xdr:row>
      <xdr:rowOff>11206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565B48-C625-4BCA-8088-279C15658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201706</xdr:colOff>
      <xdr:row>90</xdr:row>
      <xdr:rowOff>0</xdr:rowOff>
    </xdr:from>
    <xdr:to>
      <xdr:col>22</xdr:col>
      <xdr:colOff>302560</xdr:colOff>
      <xdr:row>105</xdr:row>
      <xdr:rowOff>22412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831CACA-8810-4151-A6DE-45570473AE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366711</xdr:colOff>
      <xdr:row>1</xdr:row>
      <xdr:rowOff>133350</xdr:rowOff>
    </xdr:from>
    <xdr:to>
      <xdr:col>15</xdr:col>
      <xdr:colOff>542924</xdr:colOff>
      <xdr:row>19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5283F2-EA91-4386-AAAE-909CC4A16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519112</xdr:colOff>
      <xdr:row>15</xdr:row>
      <xdr:rowOff>109537</xdr:rowOff>
    </xdr:from>
    <xdr:to>
      <xdr:col>14</xdr:col>
      <xdr:colOff>347662</xdr:colOff>
      <xdr:row>29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D0AD14-DF4D-486C-B53D-2FE37481A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15</xdr:row>
      <xdr:rowOff>104775</xdr:rowOff>
    </xdr:from>
    <xdr:to>
      <xdr:col>21</xdr:col>
      <xdr:colOff>266700</xdr:colOff>
      <xdr:row>29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A4262F-4E97-4AF0-BD72-3345A4693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17D5-85A4-4F0C-BBE3-6A93CD58A9BD}">
  <sheetPr codeName="Sheet1"/>
  <dimension ref="A2:Z7"/>
  <sheetViews>
    <sheetView workbookViewId="0">
      <selection activeCell="N19" sqref="N19"/>
    </sheetView>
  </sheetViews>
  <sheetFormatPr defaultRowHeight="15" x14ac:dyDescent="0.25"/>
  <cols>
    <col min="1" max="1" width="22.5703125" bestFit="1" customWidth="1"/>
    <col min="2" max="2" width="7" bestFit="1" customWidth="1"/>
    <col min="3" max="8" width="4.5703125" bestFit="1" customWidth="1"/>
    <col min="9" max="18" width="5.5703125" bestFit="1" customWidth="1"/>
    <col min="19" max="25" width="4.5703125" bestFit="1" customWidth="1"/>
  </cols>
  <sheetData>
    <row r="2" spans="1:26" x14ac:dyDescent="0.25">
      <c r="A2" s="3" t="s">
        <v>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6" x14ac:dyDescent="0.25">
      <c r="A3" s="3" t="s">
        <v>97</v>
      </c>
      <c r="B3" s="44">
        <f>Technical!J17</f>
        <v>86.994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6" x14ac:dyDescent="0.25">
      <c r="A4" t="s">
        <v>69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</row>
    <row r="5" spans="1:26" x14ac:dyDescent="0.25">
      <c r="A5" t="s">
        <v>99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4.8944578291497592E-2</v>
      </c>
      <c r="I5" s="26">
        <v>0.26465337902635472</v>
      </c>
      <c r="J5" s="26">
        <v>0.53535371145799249</v>
      </c>
      <c r="K5" s="26">
        <v>0.76267483424047067</v>
      </c>
      <c r="L5" s="26">
        <v>0.90861778323828934</v>
      </c>
      <c r="M5" s="26">
        <v>1</v>
      </c>
      <c r="N5" s="26">
        <v>0.98186641706501276</v>
      </c>
      <c r="O5" s="26">
        <v>0.90050081312911689</v>
      </c>
      <c r="P5" s="26">
        <v>0.7535619662994959</v>
      </c>
      <c r="Q5" s="26">
        <v>0.53270127878947704</v>
      </c>
      <c r="R5" s="26">
        <v>0.29659492136859056</v>
      </c>
      <c r="S5" s="26">
        <v>9.3244928250875048E-2</v>
      </c>
      <c r="T5" s="26">
        <v>2.8891972501529474E-3</v>
      </c>
      <c r="U5" s="26">
        <v>0</v>
      </c>
      <c r="V5" s="26">
        <v>0</v>
      </c>
      <c r="W5" s="26">
        <v>0</v>
      </c>
      <c r="X5" s="26">
        <v>0</v>
      </c>
      <c r="Y5" s="26">
        <v>0</v>
      </c>
      <c r="Z5" s="45">
        <f>SUM(B5:Y5)</f>
        <v>7.0816038084073263</v>
      </c>
    </row>
    <row r="6" spans="1:26" x14ac:dyDescent="0.25">
      <c r="A6" t="s">
        <v>98</v>
      </c>
      <c r="B6" s="45">
        <f t="shared" ref="B6:Y6" si="0">B5/$Z5</f>
        <v>0</v>
      </c>
      <c r="C6" s="45">
        <f t="shared" si="0"/>
        <v>0</v>
      </c>
      <c r="D6" s="45">
        <f t="shared" si="0"/>
        <v>0</v>
      </c>
      <c r="E6" s="45">
        <f t="shared" si="0"/>
        <v>0</v>
      </c>
      <c r="F6" s="45">
        <f t="shared" si="0"/>
        <v>0</v>
      </c>
      <c r="G6" s="45">
        <f t="shared" si="0"/>
        <v>0</v>
      </c>
      <c r="H6" s="45">
        <f t="shared" si="0"/>
        <v>6.9115103888458531E-3</v>
      </c>
      <c r="I6" s="45">
        <f t="shared" si="0"/>
        <v>3.7371955024108595E-2</v>
      </c>
      <c r="J6" s="45">
        <f t="shared" si="0"/>
        <v>7.5597806082065344E-2</v>
      </c>
      <c r="K6" s="45">
        <f t="shared" si="0"/>
        <v>0.10769803774323242</v>
      </c>
      <c r="L6" s="45">
        <f t="shared" si="0"/>
        <v>0.12830678019004288</v>
      </c>
      <c r="M6" s="45">
        <f t="shared" si="0"/>
        <v>0.14121094981518079</v>
      </c>
      <c r="N6" s="45">
        <f t="shared" si="0"/>
        <v>0.13865028934537887</v>
      </c>
      <c r="O6" s="45">
        <f t="shared" si="0"/>
        <v>0.12716057513130521</v>
      </c>
      <c r="P6" s="45">
        <f t="shared" si="0"/>
        <v>0.10641120100574707</v>
      </c>
      <c r="Q6" s="45">
        <f t="shared" si="0"/>
        <v>7.5223253545623467E-2</v>
      </c>
      <c r="R6" s="45">
        <f t="shared" si="0"/>
        <v>4.1882450556817531E-2</v>
      </c>
      <c r="S6" s="45">
        <f t="shared" si="0"/>
        <v>1.3167204883754448E-2</v>
      </c>
      <c r="T6" s="45">
        <f t="shared" si="0"/>
        <v>4.0798628789750618E-4</v>
      </c>
      <c r="U6" s="45">
        <f t="shared" si="0"/>
        <v>0</v>
      </c>
      <c r="V6" s="45">
        <f t="shared" si="0"/>
        <v>0</v>
      </c>
      <c r="W6" s="45">
        <f t="shared" si="0"/>
        <v>0</v>
      </c>
      <c r="X6" s="45">
        <f t="shared" si="0"/>
        <v>0</v>
      </c>
      <c r="Y6" s="45">
        <f t="shared" si="0"/>
        <v>0</v>
      </c>
    </row>
    <row r="7" spans="1:26" x14ac:dyDescent="0.25">
      <c r="A7" t="s">
        <v>70</v>
      </c>
      <c r="B7" s="27">
        <f t="shared" ref="B7:Y7" si="1">B6*$B3</f>
        <v>0</v>
      </c>
      <c r="C7" s="27">
        <f t="shared" si="1"/>
        <v>0</v>
      </c>
      <c r="D7" s="27">
        <f t="shared" si="1"/>
        <v>0</v>
      </c>
      <c r="E7" s="27">
        <f t="shared" si="1"/>
        <v>0</v>
      </c>
      <c r="F7" s="27">
        <f t="shared" si="1"/>
        <v>0</v>
      </c>
      <c r="G7" s="27">
        <f t="shared" si="1"/>
        <v>0</v>
      </c>
      <c r="H7" s="27">
        <f t="shared" si="1"/>
        <v>0.60125993476725614</v>
      </c>
      <c r="I7" s="27">
        <f t="shared" si="1"/>
        <v>3.2511358553673033</v>
      </c>
      <c r="J7" s="27">
        <f t="shared" si="1"/>
        <v>6.5765555423031925</v>
      </c>
      <c r="K7" s="27">
        <f t="shared" si="1"/>
        <v>9.3690830954347604</v>
      </c>
      <c r="L7" s="27">
        <f t="shared" si="1"/>
        <v>11.161920035852591</v>
      </c>
      <c r="M7" s="27">
        <f t="shared" si="1"/>
        <v>12.284505368221838</v>
      </c>
      <c r="N7" s="27">
        <f t="shared" si="1"/>
        <v>12.06174327131189</v>
      </c>
      <c r="O7" s="27">
        <f t="shared" si="1"/>
        <v>11.062207072972766</v>
      </c>
      <c r="P7" s="27">
        <f t="shared" si="1"/>
        <v>9.2571360202939594</v>
      </c>
      <c r="Q7" s="27">
        <f t="shared" si="1"/>
        <v>6.5439717189479678</v>
      </c>
      <c r="R7" s="27">
        <f t="shared" si="1"/>
        <v>3.6435219037397841</v>
      </c>
      <c r="S7" s="27">
        <f t="shared" si="1"/>
        <v>1.1454678216573344</v>
      </c>
      <c r="T7" s="27">
        <f t="shared" si="1"/>
        <v>3.5492359129355652E-2</v>
      </c>
      <c r="U7" s="27">
        <f t="shared" si="1"/>
        <v>0</v>
      </c>
      <c r="V7" s="27">
        <f t="shared" si="1"/>
        <v>0</v>
      </c>
      <c r="W7" s="27">
        <f t="shared" si="1"/>
        <v>0</v>
      </c>
      <c r="X7" s="27">
        <f t="shared" si="1"/>
        <v>0</v>
      </c>
      <c r="Y7" s="27">
        <f t="shared" si="1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FDB7B-DE87-4539-BB50-23E25F6B130A}">
  <sheetPr codeName="Sheet2"/>
  <dimension ref="A2:FK124"/>
  <sheetViews>
    <sheetView tabSelected="1" topLeftCell="A7" zoomScaleNormal="100" workbookViewId="0">
      <selection activeCell="L88" sqref="L88"/>
    </sheetView>
  </sheetViews>
  <sheetFormatPr defaultColWidth="9.140625" defaultRowHeight="15" x14ac:dyDescent="0.25"/>
  <cols>
    <col min="1" max="1" width="9.140625" style="1"/>
    <col min="2" max="2" width="16.5703125" style="1" customWidth="1"/>
    <col min="3" max="3" width="9.140625" style="1"/>
    <col min="4" max="4" width="15" style="1" customWidth="1"/>
    <col min="5" max="5" width="11" style="1" customWidth="1"/>
    <col min="6" max="6" width="9.140625" style="1"/>
    <col min="7" max="7" width="17.85546875" style="1" customWidth="1"/>
    <col min="8" max="8" width="10.5703125" style="1" customWidth="1"/>
    <col min="9" max="9" width="14.42578125" style="1" customWidth="1"/>
    <col min="10" max="10" width="10.85546875" style="1" bestFit="1" customWidth="1"/>
    <col min="11" max="11" width="9.140625" style="1"/>
    <col min="12" max="12" width="22.42578125" style="1" customWidth="1"/>
    <col min="13" max="13" width="9.140625" style="1" customWidth="1"/>
    <col min="14" max="14" width="9.140625" style="1"/>
    <col min="15" max="15" width="9.140625" style="1" customWidth="1"/>
    <col min="16" max="32" width="9.140625" style="1"/>
    <col min="33" max="33" width="9" style="1" customWidth="1"/>
    <col min="34" max="37" width="9.140625" style="1"/>
    <col min="38" max="38" width="24.7109375" style="37" customWidth="1"/>
    <col min="39" max="63" width="9.140625" style="1"/>
    <col min="64" max="64" width="9.140625" style="37"/>
    <col min="65" max="89" width="9.140625" style="1"/>
    <col min="90" max="90" width="9.140625" style="37"/>
    <col min="91" max="115" width="9.140625" style="1"/>
    <col min="116" max="116" width="9.140625" style="37"/>
    <col min="117" max="141" width="9.140625" style="1"/>
    <col min="142" max="142" width="9.140625" style="37"/>
    <col min="143" max="16384" width="9.140625" style="1"/>
  </cols>
  <sheetData>
    <row r="2" spans="1:167" x14ac:dyDescent="0.25">
      <c r="A2" s="37"/>
      <c r="B2" s="8" t="s">
        <v>16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67" x14ac:dyDescent="0.25">
      <c r="A3" s="37"/>
      <c r="B3" s="16">
        <v>1</v>
      </c>
      <c r="C3" s="8" t="s">
        <v>120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1:167" x14ac:dyDescent="0.25">
      <c r="A4" s="37"/>
      <c r="B4" s="16">
        <v>2</v>
      </c>
      <c r="C4" s="8" t="s">
        <v>121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5" spans="1:167" x14ac:dyDescent="0.25">
      <c r="A5" s="37"/>
      <c r="B5" s="16">
        <v>3</v>
      </c>
      <c r="C5" s="8" t="s">
        <v>122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</row>
    <row r="6" spans="1:167" x14ac:dyDescent="0.25">
      <c r="A6" s="37"/>
      <c r="B6" s="16">
        <v>4</v>
      </c>
      <c r="C6" s="8" t="s">
        <v>126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67" x14ac:dyDescent="0.25">
      <c r="A7" s="37"/>
      <c r="B7" s="16">
        <v>5</v>
      </c>
      <c r="C7" s="8" t="s">
        <v>123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67" x14ac:dyDescent="0.25">
      <c r="A8" s="37"/>
      <c r="B8" s="16">
        <v>6</v>
      </c>
      <c r="C8" s="8" t="s">
        <v>124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67" x14ac:dyDescent="0.25">
      <c r="A9" s="37"/>
      <c r="B9" s="16">
        <v>7</v>
      </c>
      <c r="C9" s="8" t="s">
        <v>125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2" spans="1:167" x14ac:dyDescent="0.25">
      <c r="A12" s="37"/>
      <c r="B12" s="81" t="s">
        <v>0</v>
      </c>
      <c r="C12" s="82"/>
      <c r="D12" s="82"/>
      <c r="E12" s="82"/>
      <c r="F12" s="82"/>
      <c r="G12" s="82"/>
      <c r="H12" s="82"/>
      <c r="I12" s="82"/>
      <c r="J12" s="83"/>
      <c r="L12" s="6" t="s">
        <v>11</v>
      </c>
      <c r="M12" s="5"/>
      <c r="O12" s="85" t="s">
        <v>25</v>
      </c>
      <c r="P12" s="9"/>
      <c r="Q12" s="9"/>
      <c r="R12" s="9"/>
      <c r="T12" s="1" t="s">
        <v>173</v>
      </c>
      <c r="Z12" s="48"/>
    </row>
    <row r="13" spans="1:167" x14ac:dyDescent="0.25">
      <c r="A13" s="37"/>
      <c r="B13" s="54" t="s">
        <v>3</v>
      </c>
      <c r="G13" s="2" t="s">
        <v>4</v>
      </c>
      <c r="J13" s="38"/>
      <c r="L13" s="7" t="s">
        <v>12</v>
      </c>
      <c r="O13" s="1" t="s">
        <v>29</v>
      </c>
      <c r="R13" s="113">
        <f>Financial!Q2</f>
        <v>17</v>
      </c>
      <c r="T13" s="1" t="s">
        <v>174</v>
      </c>
    </row>
    <row r="14" spans="1:167" x14ac:dyDescent="0.25">
      <c r="A14" s="37"/>
      <c r="B14" s="37" t="s">
        <v>1</v>
      </c>
      <c r="D14" s="1" t="s">
        <v>2</v>
      </c>
      <c r="E14" s="10">
        <v>27</v>
      </c>
      <c r="G14" s="1" t="s">
        <v>5</v>
      </c>
      <c r="I14" s="1" t="s">
        <v>7</v>
      </c>
      <c r="J14" s="11">
        <f>E18</f>
        <v>1306.7</v>
      </c>
      <c r="O14" s="1" t="s">
        <v>171</v>
      </c>
      <c r="R14" s="10">
        <v>2</v>
      </c>
      <c r="T14" s="1" t="s">
        <v>175</v>
      </c>
      <c r="AK14" s="1">
        <f>SUM(N16:AK16)</f>
        <v>17</v>
      </c>
      <c r="BK14" s="1">
        <f>SUM(AN16:BK16)</f>
        <v>19</v>
      </c>
      <c r="CK14" s="1">
        <f>SUM(BN16:CK16)</f>
        <v>18</v>
      </c>
      <c r="DK14" s="1">
        <f>SUM(CN16:DK16)</f>
        <v>20</v>
      </c>
      <c r="EK14" s="1">
        <f>SUM(DN16:EK16)</f>
        <v>20</v>
      </c>
      <c r="FK14" s="1">
        <f>SUM(EN16:FK16)</f>
        <v>23</v>
      </c>
    </row>
    <row r="15" spans="1:167" x14ac:dyDescent="0.25">
      <c r="A15" s="37"/>
      <c r="B15" s="84"/>
      <c r="C15" s="28"/>
      <c r="D15" s="28"/>
      <c r="E15" s="28"/>
      <c r="G15" s="1" t="s">
        <v>96</v>
      </c>
      <c r="I15" s="1" t="s">
        <v>6</v>
      </c>
      <c r="J15" s="14">
        <v>0.9</v>
      </c>
      <c r="N15" s="9">
        <v>1</v>
      </c>
      <c r="O15" s="9">
        <v>2</v>
      </c>
      <c r="P15" s="9">
        <v>3</v>
      </c>
      <c r="Q15" s="9">
        <v>4</v>
      </c>
      <c r="R15" s="9">
        <v>5</v>
      </c>
      <c r="S15" s="9">
        <v>6</v>
      </c>
      <c r="T15" s="9">
        <v>7</v>
      </c>
      <c r="U15" s="9">
        <v>8</v>
      </c>
      <c r="V15" s="94">
        <v>9</v>
      </c>
      <c r="W15" s="94">
        <v>10</v>
      </c>
      <c r="X15" s="94">
        <v>11</v>
      </c>
      <c r="Y15" s="94">
        <v>12</v>
      </c>
      <c r="Z15" s="94">
        <v>13</v>
      </c>
      <c r="AA15" s="94">
        <v>14</v>
      </c>
      <c r="AB15" s="94">
        <v>15</v>
      </c>
      <c r="AC15" s="94">
        <v>16</v>
      </c>
      <c r="AD15" s="94">
        <v>17</v>
      </c>
      <c r="AE15" s="94">
        <v>18</v>
      </c>
      <c r="AF15" s="94">
        <v>19</v>
      </c>
      <c r="AG15" s="94">
        <v>20</v>
      </c>
      <c r="AH15" s="94">
        <v>21</v>
      </c>
      <c r="AI15" s="94">
        <v>22</v>
      </c>
      <c r="AJ15" s="9">
        <v>23</v>
      </c>
      <c r="AK15" s="9">
        <v>24</v>
      </c>
      <c r="AN15" s="9">
        <v>1</v>
      </c>
      <c r="AO15" s="9">
        <v>2</v>
      </c>
      <c r="AP15" s="9">
        <v>3</v>
      </c>
      <c r="AQ15" s="9">
        <v>4</v>
      </c>
      <c r="AR15" s="9">
        <v>5</v>
      </c>
      <c r="AS15" s="9">
        <v>6</v>
      </c>
      <c r="AT15" s="9">
        <v>7</v>
      </c>
      <c r="AU15" s="9">
        <v>8</v>
      </c>
      <c r="AV15" s="94">
        <v>9</v>
      </c>
      <c r="AW15" s="94">
        <v>10</v>
      </c>
      <c r="AX15" s="94">
        <v>11</v>
      </c>
      <c r="AY15" s="94">
        <v>12</v>
      </c>
      <c r="AZ15" s="94">
        <v>13</v>
      </c>
      <c r="BA15" s="94">
        <v>14</v>
      </c>
      <c r="BB15" s="94">
        <v>15</v>
      </c>
      <c r="BC15" s="94">
        <v>16</v>
      </c>
      <c r="BD15" s="94">
        <v>17</v>
      </c>
      <c r="BE15" s="94">
        <v>18</v>
      </c>
      <c r="BF15" s="94">
        <v>19</v>
      </c>
      <c r="BG15" s="94">
        <v>20</v>
      </c>
      <c r="BH15" s="94">
        <v>21</v>
      </c>
      <c r="BI15" s="94">
        <v>22</v>
      </c>
      <c r="BJ15" s="9">
        <v>23</v>
      </c>
      <c r="BK15" s="9">
        <v>24</v>
      </c>
      <c r="BN15" s="9">
        <v>1</v>
      </c>
      <c r="BO15" s="9">
        <v>2</v>
      </c>
      <c r="BP15" s="9">
        <v>3</v>
      </c>
      <c r="BQ15" s="9">
        <v>4</v>
      </c>
      <c r="BR15" s="9">
        <v>5</v>
      </c>
      <c r="BS15" s="9">
        <v>6</v>
      </c>
      <c r="BT15" s="9">
        <v>7</v>
      </c>
      <c r="BU15" s="9">
        <v>8</v>
      </c>
      <c r="BV15" s="94">
        <v>9</v>
      </c>
      <c r="BW15" s="94">
        <v>10</v>
      </c>
      <c r="BX15" s="94">
        <v>11</v>
      </c>
      <c r="BY15" s="94">
        <v>12</v>
      </c>
      <c r="BZ15" s="94">
        <v>13</v>
      </c>
      <c r="CA15" s="94">
        <v>14</v>
      </c>
      <c r="CB15" s="94">
        <v>15</v>
      </c>
      <c r="CC15" s="94">
        <v>16</v>
      </c>
      <c r="CD15" s="94">
        <v>17</v>
      </c>
      <c r="CE15" s="94">
        <v>18</v>
      </c>
      <c r="CF15" s="94">
        <v>19</v>
      </c>
      <c r="CG15" s="94">
        <v>20</v>
      </c>
      <c r="CH15" s="94">
        <v>21</v>
      </c>
      <c r="CI15" s="94">
        <v>22</v>
      </c>
      <c r="CJ15" s="9">
        <v>23</v>
      </c>
      <c r="CK15" s="9">
        <v>24</v>
      </c>
      <c r="CN15" s="9">
        <v>1</v>
      </c>
      <c r="CO15" s="9">
        <v>2</v>
      </c>
      <c r="CP15" s="9">
        <v>3</v>
      </c>
      <c r="CQ15" s="9">
        <v>4</v>
      </c>
      <c r="CR15" s="9">
        <v>5</v>
      </c>
      <c r="CS15" s="9">
        <v>6</v>
      </c>
      <c r="CT15" s="9">
        <v>7</v>
      </c>
      <c r="CU15" s="9">
        <v>8</v>
      </c>
      <c r="CV15" s="94">
        <v>9</v>
      </c>
      <c r="CW15" s="94">
        <v>10</v>
      </c>
      <c r="CX15" s="94">
        <v>11</v>
      </c>
      <c r="CY15" s="94">
        <v>12</v>
      </c>
      <c r="CZ15" s="94">
        <v>13</v>
      </c>
      <c r="DA15" s="94">
        <v>14</v>
      </c>
      <c r="DB15" s="94">
        <v>15</v>
      </c>
      <c r="DC15" s="94">
        <v>16</v>
      </c>
      <c r="DD15" s="94">
        <v>17</v>
      </c>
      <c r="DE15" s="94">
        <v>18</v>
      </c>
      <c r="DF15" s="94">
        <v>19</v>
      </c>
      <c r="DG15" s="94">
        <v>20</v>
      </c>
      <c r="DH15" s="94">
        <v>21</v>
      </c>
      <c r="DI15" s="94">
        <v>22</v>
      </c>
      <c r="DJ15" s="9">
        <v>23</v>
      </c>
      <c r="DK15" s="9">
        <v>24</v>
      </c>
      <c r="DN15" s="9">
        <v>1</v>
      </c>
      <c r="DO15" s="9">
        <v>2</v>
      </c>
      <c r="DP15" s="9">
        <v>3</v>
      </c>
      <c r="DQ15" s="9">
        <v>4</v>
      </c>
      <c r="DR15" s="9">
        <v>5</v>
      </c>
      <c r="DS15" s="9">
        <v>6</v>
      </c>
      <c r="DT15" s="9">
        <v>7</v>
      </c>
      <c r="DU15" s="9">
        <v>8</v>
      </c>
      <c r="DV15" s="94">
        <v>9</v>
      </c>
      <c r="DW15" s="94">
        <v>10</v>
      </c>
      <c r="DX15" s="94">
        <v>11</v>
      </c>
      <c r="DY15" s="94">
        <v>12</v>
      </c>
      <c r="DZ15" s="94">
        <v>13</v>
      </c>
      <c r="EA15" s="94">
        <v>14</v>
      </c>
      <c r="EB15" s="94">
        <v>15</v>
      </c>
      <c r="EC15" s="94">
        <v>16</v>
      </c>
      <c r="ED15" s="94">
        <v>17</v>
      </c>
      <c r="EE15" s="94">
        <v>18</v>
      </c>
      <c r="EF15" s="94">
        <v>19</v>
      </c>
      <c r="EG15" s="94">
        <v>20</v>
      </c>
      <c r="EH15" s="94">
        <v>21</v>
      </c>
      <c r="EI15" s="94">
        <v>22</v>
      </c>
      <c r="EJ15" s="9">
        <v>23</v>
      </c>
      <c r="EK15" s="9">
        <v>24</v>
      </c>
      <c r="EN15" s="9">
        <v>1</v>
      </c>
      <c r="EO15" s="9">
        <v>2</v>
      </c>
      <c r="EP15" s="9">
        <v>3</v>
      </c>
      <c r="EQ15" s="9">
        <v>4</v>
      </c>
      <c r="ER15" s="9">
        <v>5</v>
      </c>
      <c r="ES15" s="9">
        <v>6</v>
      </c>
      <c r="ET15" s="9">
        <v>7</v>
      </c>
      <c r="EU15" s="9">
        <v>8</v>
      </c>
      <c r="EV15" s="94">
        <v>9</v>
      </c>
      <c r="EW15" s="94">
        <v>10</v>
      </c>
      <c r="EX15" s="94">
        <v>11</v>
      </c>
      <c r="EY15" s="94">
        <v>12</v>
      </c>
      <c r="EZ15" s="94">
        <v>13</v>
      </c>
      <c r="FA15" s="94">
        <v>14</v>
      </c>
      <c r="FB15" s="94">
        <v>15</v>
      </c>
      <c r="FC15" s="94">
        <v>16</v>
      </c>
      <c r="FD15" s="94">
        <v>17</v>
      </c>
      <c r="FE15" s="94">
        <v>18</v>
      </c>
      <c r="FF15" s="94">
        <v>19</v>
      </c>
      <c r="FG15" s="94">
        <v>20</v>
      </c>
      <c r="FH15" s="94">
        <v>21</v>
      </c>
      <c r="FI15" s="94">
        <v>22</v>
      </c>
      <c r="FJ15" s="9">
        <v>23</v>
      </c>
      <c r="FK15" s="9">
        <v>24</v>
      </c>
    </row>
    <row r="16" spans="1:167" x14ac:dyDescent="0.25">
      <c r="A16" s="37"/>
      <c r="B16" s="54" t="s">
        <v>8</v>
      </c>
      <c r="G16" s="1" t="s">
        <v>41</v>
      </c>
      <c r="I16" s="1" t="s">
        <v>15</v>
      </c>
      <c r="J16" s="12">
        <f>J14*E14*J15</f>
        <v>31752.81</v>
      </c>
      <c r="M16" s="1" t="s">
        <v>135</v>
      </c>
      <c r="S16" s="1">
        <f>IF($R13&gt;16,1,0)</f>
        <v>1</v>
      </c>
      <c r="T16" s="1">
        <f>IF($R13&gt;15,1,0)</f>
        <v>1</v>
      </c>
      <c r="U16" s="1">
        <f>IF($R13&gt;14,1,0)</f>
        <v>1</v>
      </c>
      <c r="V16" s="1">
        <f>IF($R13&gt;M15,1,0)</f>
        <v>1</v>
      </c>
      <c r="W16" s="1">
        <f t="shared" ref="W16:AI16" si="0">IF($R13&gt;N15,1,0)</f>
        <v>1</v>
      </c>
      <c r="X16" s="1">
        <f t="shared" si="0"/>
        <v>1</v>
      </c>
      <c r="Y16" s="1">
        <f t="shared" si="0"/>
        <v>1</v>
      </c>
      <c r="Z16" s="1">
        <f t="shared" si="0"/>
        <v>1</v>
      </c>
      <c r="AA16" s="1">
        <f t="shared" si="0"/>
        <v>1</v>
      </c>
      <c r="AB16" s="1">
        <f t="shared" si="0"/>
        <v>1</v>
      </c>
      <c r="AC16" s="1">
        <f t="shared" si="0"/>
        <v>1</v>
      </c>
      <c r="AD16" s="1">
        <f t="shared" si="0"/>
        <v>1</v>
      </c>
      <c r="AE16" s="1">
        <f t="shared" si="0"/>
        <v>1</v>
      </c>
      <c r="AF16" s="1">
        <f t="shared" si="0"/>
        <v>1</v>
      </c>
      <c r="AG16" s="1">
        <f t="shared" si="0"/>
        <v>1</v>
      </c>
      <c r="AH16" s="1">
        <f t="shared" si="0"/>
        <v>1</v>
      </c>
      <c r="AI16" s="1">
        <f t="shared" si="0"/>
        <v>1</v>
      </c>
      <c r="AJ16" s="1">
        <f>IF($R13&gt;17,1,0)</f>
        <v>0</v>
      </c>
      <c r="AK16" s="1">
        <f>IF($R13&gt;18,1,0)</f>
        <v>0</v>
      </c>
      <c r="AM16" s="1" t="s">
        <v>135</v>
      </c>
      <c r="AS16" s="1">
        <f>IF($R13+$R14*($BB22-1)&gt;16,1,0)</f>
        <v>1</v>
      </c>
      <c r="AT16" s="1">
        <f>IF($R13+$R14*($BB22-1)&gt;15,1,0)</f>
        <v>1</v>
      </c>
      <c r="AU16" s="1">
        <f>IF($R13+$R14*($BB22-1)&gt;14,1,0)</f>
        <v>1</v>
      </c>
      <c r="AV16" s="1">
        <f>IF($AY27&gt;AM15,1,0)</f>
        <v>1</v>
      </c>
      <c r="AW16" s="1">
        <f t="shared" ref="AW16:BI16" si="1">IF($AY27&gt;AN15,1,0)</f>
        <v>1</v>
      </c>
      <c r="AX16" s="1">
        <f t="shared" si="1"/>
        <v>1</v>
      </c>
      <c r="AY16" s="1">
        <f t="shared" si="1"/>
        <v>1</v>
      </c>
      <c r="AZ16" s="1">
        <f t="shared" si="1"/>
        <v>1</v>
      </c>
      <c r="BA16" s="1">
        <f t="shared" si="1"/>
        <v>1</v>
      </c>
      <c r="BB16" s="1">
        <f t="shared" si="1"/>
        <v>1</v>
      </c>
      <c r="BC16" s="1">
        <f t="shared" si="1"/>
        <v>1</v>
      </c>
      <c r="BD16" s="1">
        <f t="shared" si="1"/>
        <v>1</v>
      </c>
      <c r="BE16" s="1">
        <f t="shared" si="1"/>
        <v>1</v>
      </c>
      <c r="BF16" s="1">
        <f t="shared" si="1"/>
        <v>1</v>
      </c>
      <c r="BG16" s="1">
        <f t="shared" si="1"/>
        <v>1</v>
      </c>
      <c r="BH16" s="1">
        <f t="shared" si="1"/>
        <v>1</v>
      </c>
      <c r="BI16" s="1">
        <f t="shared" si="1"/>
        <v>1</v>
      </c>
      <c r="BJ16" s="1">
        <f>IF($R13+$R14*($BB22-1)&gt;17,1,0)</f>
        <v>1</v>
      </c>
      <c r="BK16" s="1">
        <f>IF($R13+$R14*($BB22-1)&gt;18,1,0)</f>
        <v>1</v>
      </c>
      <c r="BM16" s="1" t="s">
        <v>135</v>
      </c>
      <c r="BS16" s="1">
        <f>IF($R13+$R14*($CB22-1)&gt;16,1,0)</f>
        <v>1</v>
      </c>
      <c r="BT16" s="1">
        <f>IF($R13+$R14*($CB22-1)&gt;15,1,0)</f>
        <v>1</v>
      </c>
      <c r="BU16" s="1">
        <f>IF($R13+$R14*($CB22-1)&gt;14,1,0)</f>
        <v>1</v>
      </c>
      <c r="BV16" s="1">
        <f>IF($BY27&gt;BM15,1,0)</f>
        <v>1</v>
      </c>
      <c r="BW16" s="1">
        <f t="shared" ref="BW16:CI16" si="2">IF($BY27&gt;BN15,1,0)</f>
        <v>1</v>
      </c>
      <c r="BX16" s="1">
        <f t="shared" si="2"/>
        <v>1</v>
      </c>
      <c r="BY16" s="1">
        <f t="shared" si="2"/>
        <v>1</v>
      </c>
      <c r="BZ16" s="1">
        <f t="shared" si="2"/>
        <v>1</v>
      </c>
      <c r="CA16" s="1">
        <f t="shared" si="2"/>
        <v>1</v>
      </c>
      <c r="CB16" s="1">
        <f t="shared" si="2"/>
        <v>1</v>
      </c>
      <c r="CC16" s="1">
        <f t="shared" si="2"/>
        <v>1</v>
      </c>
      <c r="CD16" s="1">
        <f t="shared" si="2"/>
        <v>1</v>
      </c>
      <c r="CE16" s="1">
        <f t="shared" si="2"/>
        <v>1</v>
      </c>
      <c r="CF16" s="1">
        <f t="shared" si="2"/>
        <v>1</v>
      </c>
      <c r="CG16" s="1">
        <f t="shared" si="2"/>
        <v>1</v>
      </c>
      <c r="CH16" s="1">
        <f t="shared" si="2"/>
        <v>1</v>
      </c>
      <c r="CI16" s="1">
        <f t="shared" si="2"/>
        <v>1</v>
      </c>
      <c r="CJ16" s="1">
        <f>IF($R13+$R14*($CB22-1)&gt;17,1,0)</f>
        <v>1</v>
      </c>
      <c r="CM16" s="1" t="s">
        <v>135</v>
      </c>
      <c r="CR16" s="1">
        <f>IF($R13+$R14*($DB22-1)&gt;17,1,0)</f>
        <v>1</v>
      </c>
      <c r="CS16" s="1">
        <f>IF($R13+$R14*($DB22-1)&gt;16,1,0)</f>
        <v>1</v>
      </c>
      <c r="CT16" s="1">
        <f>IF($R13+$R14*($DB22-1)&gt;15,1,0)</f>
        <v>1</v>
      </c>
      <c r="CU16" s="1">
        <f>IF($R13+$R14*($DB22-1)&gt;14,1,0)</f>
        <v>1</v>
      </c>
      <c r="CV16" s="1">
        <f>IF($R13+$R14*($DB22-1)&gt;CM15,1,0)</f>
        <v>1</v>
      </c>
      <c r="CW16" s="1">
        <f t="shared" ref="CW16:DI16" si="3">IF($R13+$R14*($DB22-1)&gt;CN15,1,0)</f>
        <v>1</v>
      </c>
      <c r="CX16" s="1">
        <f t="shared" si="3"/>
        <v>1</v>
      </c>
      <c r="CY16" s="1">
        <f t="shared" si="3"/>
        <v>1</v>
      </c>
      <c r="CZ16" s="1">
        <f t="shared" si="3"/>
        <v>1</v>
      </c>
      <c r="DA16" s="1">
        <f t="shared" si="3"/>
        <v>1</v>
      </c>
      <c r="DB16" s="1">
        <f t="shared" si="3"/>
        <v>1</v>
      </c>
      <c r="DC16" s="1">
        <f t="shared" si="3"/>
        <v>1</v>
      </c>
      <c r="DD16" s="1">
        <f t="shared" si="3"/>
        <v>1</v>
      </c>
      <c r="DE16" s="1">
        <f t="shared" si="3"/>
        <v>1</v>
      </c>
      <c r="DF16" s="1">
        <f t="shared" si="3"/>
        <v>1</v>
      </c>
      <c r="DG16" s="1">
        <f t="shared" si="3"/>
        <v>1</v>
      </c>
      <c r="DH16" s="1">
        <f t="shared" si="3"/>
        <v>1</v>
      </c>
      <c r="DI16" s="1">
        <f t="shared" si="3"/>
        <v>1</v>
      </c>
      <c r="DJ16" s="1">
        <f>IF($R13+$R14*($DB22-1)&gt;17,1,0)</f>
        <v>1</v>
      </c>
      <c r="DK16" s="1">
        <f>IF($R13+$R14*($DB22-1)&gt;18,1,0)</f>
        <v>1</v>
      </c>
      <c r="DM16" s="1" t="s">
        <v>135</v>
      </c>
      <c r="DR16" s="1">
        <f>IF($DY27&gt;19,1,0)</f>
        <v>1</v>
      </c>
      <c r="DS16" s="1">
        <f>IF($DY27&gt;16,1,0)</f>
        <v>1</v>
      </c>
      <c r="DT16" s="1">
        <f>IF($DY27&gt;15,1,0)</f>
        <v>1</v>
      </c>
      <c r="DU16" s="1">
        <f>IF($DY27&gt;14,1,0)</f>
        <v>1</v>
      </c>
      <c r="DV16" s="1">
        <f>IF($R13+$R14*($EB22-1)&gt;DM15,1,0)</f>
        <v>1</v>
      </c>
      <c r="DW16" s="1">
        <f t="shared" ref="DW16:EI16" si="4">IF($R13+$R14*($EB22-1)&gt;DN15,1,0)</f>
        <v>1</v>
      </c>
      <c r="DX16" s="1">
        <f t="shared" si="4"/>
        <v>1</v>
      </c>
      <c r="DY16" s="1">
        <f t="shared" si="4"/>
        <v>1</v>
      </c>
      <c r="DZ16" s="1">
        <f t="shared" si="4"/>
        <v>1</v>
      </c>
      <c r="EA16" s="1">
        <f t="shared" si="4"/>
        <v>1</v>
      </c>
      <c r="EB16" s="1">
        <f t="shared" si="4"/>
        <v>1</v>
      </c>
      <c r="EC16" s="1">
        <f t="shared" si="4"/>
        <v>1</v>
      </c>
      <c r="ED16" s="1">
        <f t="shared" si="4"/>
        <v>1</v>
      </c>
      <c r="EE16" s="1">
        <f t="shared" si="4"/>
        <v>1</v>
      </c>
      <c r="EF16" s="1">
        <f t="shared" si="4"/>
        <v>1</v>
      </c>
      <c r="EG16" s="1">
        <f t="shared" si="4"/>
        <v>1</v>
      </c>
      <c r="EH16" s="1">
        <f t="shared" si="4"/>
        <v>1</v>
      </c>
      <c r="EI16" s="1">
        <f t="shared" si="4"/>
        <v>1</v>
      </c>
      <c r="EJ16" s="1">
        <f>IF($DY27&gt;17,1,0)</f>
        <v>1</v>
      </c>
      <c r="EK16" s="1">
        <f>IF($DY27&gt;18,1,0)</f>
        <v>1</v>
      </c>
      <c r="EM16" s="1" t="s">
        <v>135</v>
      </c>
      <c r="EN16" s="1">
        <v>0</v>
      </c>
      <c r="EO16" s="1">
        <v>1</v>
      </c>
      <c r="EP16" s="1">
        <v>1</v>
      </c>
      <c r="EQ16" s="1">
        <v>1</v>
      </c>
      <c r="ER16" s="1">
        <v>1</v>
      </c>
      <c r="ES16" s="1">
        <v>1</v>
      </c>
      <c r="ET16" s="1">
        <v>1</v>
      </c>
      <c r="EU16" s="1">
        <v>1</v>
      </c>
      <c r="EV16" s="1">
        <v>1</v>
      </c>
      <c r="EW16" s="1">
        <v>1</v>
      </c>
      <c r="EX16" s="1">
        <v>1</v>
      </c>
      <c r="EY16" s="1">
        <v>1</v>
      </c>
      <c r="EZ16" s="1">
        <v>1</v>
      </c>
      <c r="FA16" s="1">
        <v>1</v>
      </c>
      <c r="FB16" s="1">
        <v>1</v>
      </c>
      <c r="FC16" s="1">
        <v>1</v>
      </c>
      <c r="FD16" s="1">
        <v>1</v>
      </c>
      <c r="FE16" s="1">
        <v>1</v>
      </c>
      <c r="FF16" s="1">
        <v>1</v>
      </c>
      <c r="FG16" s="1">
        <v>1</v>
      </c>
      <c r="FH16" s="1">
        <v>1</v>
      </c>
      <c r="FI16" s="1">
        <v>1</v>
      </c>
      <c r="FJ16" s="1">
        <v>1</v>
      </c>
      <c r="FK16" s="1">
        <v>1</v>
      </c>
    </row>
    <row r="17" spans="2:155" x14ac:dyDescent="0.25">
      <c r="B17" s="37" t="s">
        <v>9</v>
      </c>
      <c r="D17" s="1" t="s">
        <v>10</v>
      </c>
      <c r="E17" s="10">
        <v>3.58</v>
      </c>
      <c r="G17" s="1" t="s">
        <v>42</v>
      </c>
      <c r="I17" s="1" t="s">
        <v>43</v>
      </c>
      <c r="J17" s="24">
        <f>E17*E14*J15</f>
        <v>86.994</v>
      </c>
    </row>
    <row r="18" spans="2:155" x14ac:dyDescent="0.25">
      <c r="B18" s="39" t="s">
        <v>9</v>
      </c>
      <c r="C18" s="19"/>
      <c r="D18" s="19" t="s">
        <v>7</v>
      </c>
      <c r="E18" s="43">
        <f>E17*365</f>
        <v>1306.7</v>
      </c>
      <c r="F18" s="19"/>
      <c r="G18" s="19"/>
      <c r="H18" s="19"/>
      <c r="I18" s="19"/>
      <c r="J18" s="40"/>
    </row>
    <row r="19" spans="2:155" x14ac:dyDescent="0.25">
      <c r="N19" s="22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</row>
    <row r="20" spans="2:155" s="36" customFormat="1" ht="15.75" x14ac:dyDescent="0.25">
      <c r="B20" s="132" t="s">
        <v>254</v>
      </c>
      <c r="C20" s="133"/>
      <c r="D20" s="133"/>
      <c r="E20" s="133"/>
      <c r="F20" s="133"/>
      <c r="G20" s="133"/>
      <c r="H20" s="133"/>
      <c r="I20" s="133"/>
      <c r="J20" s="134"/>
      <c r="N20" s="65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L20" s="35"/>
      <c r="BL20" s="35"/>
      <c r="CL20" s="35"/>
      <c r="DL20" s="35"/>
      <c r="EL20" s="35"/>
    </row>
    <row r="21" spans="2:155" x14ac:dyDescent="0.25">
      <c r="B21" s="58" t="s">
        <v>13</v>
      </c>
      <c r="C21" s="59"/>
      <c r="D21" s="59"/>
      <c r="E21" s="59"/>
      <c r="F21" s="59"/>
      <c r="G21" s="59"/>
      <c r="H21" s="59"/>
      <c r="I21" s="59"/>
      <c r="J21" s="60"/>
      <c r="N21" s="22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8">
        <v>1</v>
      </c>
      <c r="AC21" s="28" t="s">
        <v>132</v>
      </c>
      <c r="AQ21" s="2" t="s">
        <v>67</v>
      </c>
      <c r="AV21" s="2" t="s">
        <v>100</v>
      </c>
      <c r="BQ21" s="2" t="s">
        <v>67</v>
      </c>
      <c r="BV21" s="2" t="s">
        <v>100</v>
      </c>
      <c r="CQ21" s="2" t="s">
        <v>67</v>
      </c>
      <c r="CV21" s="2" t="s">
        <v>100</v>
      </c>
      <c r="DQ21" s="2" t="s">
        <v>67</v>
      </c>
      <c r="DV21" s="2" t="s">
        <v>100</v>
      </c>
      <c r="EM21" s="1" t="s">
        <v>179</v>
      </c>
      <c r="EQ21" s="2" t="s">
        <v>67</v>
      </c>
      <c r="EV21" s="2" t="s">
        <v>100</v>
      </c>
    </row>
    <row r="22" spans="2:155" x14ac:dyDescent="0.25">
      <c r="B22" s="54" t="s">
        <v>127</v>
      </c>
      <c r="G22" s="2" t="s">
        <v>22</v>
      </c>
      <c r="J22" s="38"/>
      <c r="N22" s="22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1">
        <v>2</v>
      </c>
      <c r="AC22" s="1" t="s">
        <v>136</v>
      </c>
      <c r="AQ22" s="1" t="s">
        <v>107</v>
      </c>
      <c r="AS22" s="1" t="s">
        <v>14</v>
      </c>
      <c r="AT22" s="49">
        <f>SUM(AN38:BK38)</f>
        <v>86.993999999999986</v>
      </c>
      <c r="AV22" s="1" t="s">
        <v>145</v>
      </c>
      <c r="AX22" s="1" t="s">
        <v>40</v>
      </c>
      <c r="AY22" s="49">
        <f>SUM(AN39:BK39)</f>
        <v>288.00000000000006</v>
      </c>
      <c r="BA22" s="1" t="s">
        <v>172</v>
      </c>
      <c r="BB22" s="1">
        <v>2</v>
      </c>
      <c r="BQ22" s="1" t="s">
        <v>107</v>
      </c>
      <c r="BS22" s="1" t="s">
        <v>14</v>
      </c>
      <c r="BT22" s="49">
        <f>SUM(BN38:CK38)</f>
        <v>86.993999999999986</v>
      </c>
      <c r="BV22" s="1" t="s">
        <v>145</v>
      </c>
      <c r="BX22" s="1" t="s">
        <v>40</v>
      </c>
      <c r="BY22" s="49">
        <f>SUM(BN39:CK39)</f>
        <v>288.00000000000006</v>
      </c>
      <c r="CA22" s="1" t="s">
        <v>172</v>
      </c>
      <c r="CB22" s="1">
        <v>3</v>
      </c>
      <c r="CQ22" s="1" t="s">
        <v>107</v>
      </c>
      <c r="CS22" s="1" t="s">
        <v>14</v>
      </c>
      <c r="CT22" s="49">
        <f>SUM(CN38:DK38)</f>
        <v>86.993999999999986</v>
      </c>
      <c r="CV22" s="1" t="s">
        <v>145</v>
      </c>
      <c r="CX22" s="1" t="s">
        <v>40</v>
      </c>
      <c r="CY22" s="49">
        <f>SUM(CN39:DK39)</f>
        <v>288.00000000000006</v>
      </c>
      <c r="DA22" s="1" t="s">
        <v>172</v>
      </c>
      <c r="DB22" s="1">
        <v>4</v>
      </c>
      <c r="DQ22" s="1" t="s">
        <v>107</v>
      </c>
      <c r="DS22" s="1" t="s">
        <v>14</v>
      </c>
      <c r="DT22" s="49">
        <f>SUM(DN38:EK38)</f>
        <v>86.993999999999986</v>
      </c>
      <c r="DV22" s="1" t="s">
        <v>145</v>
      </c>
      <c r="DX22" s="1" t="s">
        <v>40</v>
      </c>
      <c r="DY22" s="49">
        <f>SUM(DN39:EK39)</f>
        <v>288.00000000000006</v>
      </c>
      <c r="EA22" s="1" t="s">
        <v>172</v>
      </c>
      <c r="EB22" s="1">
        <v>5</v>
      </c>
      <c r="EM22" s="1" t="s">
        <v>180</v>
      </c>
      <c r="EQ22" s="1" t="s">
        <v>107</v>
      </c>
      <c r="ES22" s="1" t="s">
        <v>14</v>
      </c>
      <c r="ET22" s="49">
        <f>SUM(EN38:FK38)</f>
        <v>86.993999999999986</v>
      </c>
      <c r="EV22" s="1" t="s">
        <v>145</v>
      </c>
      <c r="EX22" s="1" t="s">
        <v>40</v>
      </c>
      <c r="EY22" s="49">
        <f>SUM(EN39:FK39)</f>
        <v>288.00000000000006</v>
      </c>
    </row>
    <row r="23" spans="2:155" x14ac:dyDescent="0.25">
      <c r="B23" s="37" t="s">
        <v>1</v>
      </c>
      <c r="D23" s="1" t="s">
        <v>14</v>
      </c>
      <c r="E23" s="10">
        <v>354</v>
      </c>
      <c r="G23" s="1" t="s">
        <v>23</v>
      </c>
      <c r="I23" s="1" t="s">
        <v>18</v>
      </c>
      <c r="J23" s="13">
        <f>0.75*J24</f>
        <v>265.5</v>
      </c>
      <c r="N23" s="22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48">
        <v>3</v>
      </c>
      <c r="AC23" s="1" t="s">
        <v>138</v>
      </c>
      <c r="AQ23" s="1" t="s">
        <v>108</v>
      </c>
      <c r="AS23" s="1" t="s">
        <v>14</v>
      </c>
      <c r="AT23" s="29">
        <f>AT22*365</f>
        <v>31752.809999999994</v>
      </c>
      <c r="AV23" s="1" t="s">
        <v>111</v>
      </c>
      <c r="AX23" s="1" t="s">
        <v>40</v>
      </c>
      <c r="AY23" s="49">
        <f>SUM(AV40:BI40)</f>
        <v>403.2000000000001</v>
      </c>
      <c r="BQ23" s="1" t="s">
        <v>108</v>
      </c>
      <c r="BS23" s="1" t="s">
        <v>14</v>
      </c>
      <c r="BT23" s="29">
        <f>BT22*365</f>
        <v>31752.809999999994</v>
      </c>
      <c r="BV23" s="1" t="s">
        <v>111</v>
      </c>
      <c r="BX23" s="1" t="s">
        <v>40</v>
      </c>
      <c r="BY23" s="49">
        <f>SUM(BV40:CI40)</f>
        <v>403.2000000000001</v>
      </c>
      <c r="CQ23" s="1" t="s">
        <v>108</v>
      </c>
      <c r="CS23" s="1" t="s">
        <v>14</v>
      </c>
      <c r="CT23" s="29">
        <f>CT22*365</f>
        <v>31752.809999999994</v>
      </c>
      <c r="CV23" s="1" t="s">
        <v>111</v>
      </c>
      <c r="CX23" s="1" t="s">
        <v>40</v>
      </c>
      <c r="CY23" s="49">
        <f>SUM(CV40:DI40)</f>
        <v>403.2000000000001</v>
      </c>
      <c r="DQ23" s="1" t="s">
        <v>108</v>
      </c>
      <c r="DS23" s="1" t="s">
        <v>14</v>
      </c>
      <c r="DT23" s="29">
        <f>DT22*365</f>
        <v>31752.809999999994</v>
      </c>
      <c r="DV23" s="1" t="s">
        <v>111</v>
      </c>
      <c r="DX23" s="1" t="s">
        <v>40</v>
      </c>
      <c r="DY23" s="49">
        <f>SUM(DV40:EI40)</f>
        <v>403.2000000000001</v>
      </c>
      <c r="EQ23" s="1" t="s">
        <v>108</v>
      </c>
      <c r="ES23" s="1" t="s">
        <v>14</v>
      </c>
      <c r="ET23" s="29">
        <f>ET22*365</f>
        <v>31752.809999999994</v>
      </c>
      <c r="EV23" s="1" t="s">
        <v>111</v>
      </c>
      <c r="EX23" s="1" t="s">
        <v>40</v>
      </c>
      <c r="EY23" s="49">
        <f>SUM(EV40:FI40)</f>
        <v>403.2000000000001</v>
      </c>
    </row>
    <row r="24" spans="2:155" x14ac:dyDescent="0.25">
      <c r="B24" s="37" t="s">
        <v>129</v>
      </c>
      <c r="D24" s="1" t="s">
        <v>130</v>
      </c>
      <c r="E24" s="57">
        <f>E35/E23</f>
        <v>0.50847457627118642</v>
      </c>
      <c r="G24" s="1" t="s">
        <v>24</v>
      </c>
      <c r="I24" s="1" t="s">
        <v>18</v>
      </c>
      <c r="J24" s="13">
        <f>E23</f>
        <v>354</v>
      </c>
      <c r="N24" s="22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1">
        <v>4</v>
      </c>
      <c r="AC24" s="1" t="s">
        <v>140</v>
      </c>
      <c r="AV24" s="1" t="s">
        <v>102</v>
      </c>
      <c r="AX24" s="1" t="s">
        <v>40</v>
      </c>
      <c r="AY24" s="49">
        <f>SUM(AY22:AY23)</f>
        <v>691.20000000000016</v>
      </c>
      <c r="BV24" s="1" t="s">
        <v>102</v>
      </c>
      <c r="BX24" s="1" t="s">
        <v>40</v>
      </c>
      <c r="BY24" s="49">
        <f>SUM(BY22:BY23)</f>
        <v>691.20000000000016</v>
      </c>
      <c r="CV24" s="1" t="s">
        <v>102</v>
      </c>
      <c r="CX24" s="1" t="s">
        <v>40</v>
      </c>
      <c r="CY24" s="49">
        <f>SUM(CY22:CY23)</f>
        <v>691.20000000000016</v>
      </c>
      <c r="DV24" s="1" t="s">
        <v>102</v>
      </c>
      <c r="DX24" s="1" t="s">
        <v>40</v>
      </c>
      <c r="DY24" s="49">
        <f>SUM(DY22:DY23)</f>
        <v>691.20000000000016</v>
      </c>
      <c r="EV24" s="1" t="s">
        <v>102</v>
      </c>
      <c r="EX24" s="1" t="s">
        <v>40</v>
      </c>
      <c r="EY24" s="49">
        <f>SUM(EY22:EY23)</f>
        <v>691.20000000000016</v>
      </c>
    </row>
    <row r="25" spans="2:155" x14ac:dyDescent="0.25">
      <c r="B25" s="37" t="s">
        <v>131</v>
      </c>
      <c r="D25" s="1" t="s">
        <v>18</v>
      </c>
      <c r="E25" s="57">
        <f>MIN(E35,J46,J24)</f>
        <v>180</v>
      </c>
      <c r="J25" s="38"/>
      <c r="N25" s="22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2:155" x14ac:dyDescent="0.25">
      <c r="B26" s="84" t="s">
        <v>144</v>
      </c>
      <c r="C26" s="61"/>
      <c r="D26" s="28" t="s">
        <v>6</v>
      </c>
      <c r="E26" s="14">
        <v>0.9</v>
      </c>
      <c r="G26" s="2" t="s">
        <v>100</v>
      </c>
      <c r="J26" s="40"/>
      <c r="N26" s="22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8"/>
      <c r="AV26" s="2" t="s">
        <v>36</v>
      </c>
      <c r="BV26" s="2" t="s">
        <v>36</v>
      </c>
      <c r="CV26" s="2" t="s">
        <v>36</v>
      </c>
      <c r="DV26" s="2" t="s">
        <v>36</v>
      </c>
      <c r="EV26" s="2" t="s">
        <v>36</v>
      </c>
    </row>
    <row r="27" spans="2:155" x14ac:dyDescent="0.25">
      <c r="B27" s="37" t="s">
        <v>158</v>
      </c>
      <c r="D27" s="1" t="s">
        <v>6</v>
      </c>
      <c r="E27" s="14">
        <v>0.9</v>
      </c>
      <c r="G27" s="1" t="s">
        <v>145</v>
      </c>
      <c r="I27" s="1" t="s">
        <v>40</v>
      </c>
      <c r="J27" s="49">
        <f>SUM(N39:AK39)</f>
        <v>288.00000000000006</v>
      </c>
      <c r="N27" s="22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8"/>
      <c r="AV27" s="1" t="s">
        <v>29</v>
      </c>
      <c r="AX27" s="1" t="s">
        <v>27</v>
      </c>
      <c r="AY27" s="13">
        <f>$R$13+$R$14*(BB22-1)</f>
        <v>19</v>
      </c>
      <c r="BV27" s="1" t="s">
        <v>29</v>
      </c>
      <c r="BX27" s="1" t="s">
        <v>27</v>
      </c>
      <c r="BY27" s="13">
        <f>$R13+$R14*(CB22-1)</f>
        <v>21</v>
      </c>
      <c r="CV27" s="1" t="s">
        <v>29</v>
      </c>
      <c r="CX27" s="1" t="s">
        <v>27</v>
      </c>
      <c r="CY27" s="13">
        <f>$R13+$R14*(DB22-1)</f>
        <v>23</v>
      </c>
      <c r="DV27" s="1" t="s">
        <v>29</v>
      </c>
      <c r="DX27" s="1" t="s">
        <v>27</v>
      </c>
      <c r="DY27" s="13">
        <f>$R13+$R14*(EB22-1)</f>
        <v>25</v>
      </c>
      <c r="EV27" s="1" t="s">
        <v>29</v>
      </c>
      <c r="EX27" s="1" t="s">
        <v>27</v>
      </c>
      <c r="EY27" s="13">
        <f>FK14</f>
        <v>23</v>
      </c>
    </row>
    <row r="28" spans="2:155" x14ac:dyDescent="0.25">
      <c r="B28" s="37" t="s">
        <v>159</v>
      </c>
      <c r="D28" s="1" t="s">
        <v>6</v>
      </c>
      <c r="E28" s="14">
        <v>0.1</v>
      </c>
      <c r="G28" s="1" t="s">
        <v>111</v>
      </c>
      <c r="I28" s="1" t="s">
        <v>40</v>
      </c>
      <c r="J28" s="49">
        <f>SUM(V40:AI40)</f>
        <v>403.2000000000001</v>
      </c>
      <c r="N28" s="22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8"/>
      <c r="AV28" s="1" t="s">
        <v>28</v>
      </c>
      <c r="AX28" s="1" t="s">
        <v>30</v>
      </c>
      <c r="AY28" s="13">
        <f>AY27*365</f>
        <v>6935</v>
      </c>
      <c r="BV28" s="1" t="s">
        <v>28</v>
      </c>
      <c r="BX28" s="1" t="s">
        <v>30</v>
      </c>
      <c r="BY28" s="13">
        <f>BY27*365</f>
        <v>7665</v>
      </c>
      <c r="CV28" s="1" t="s">
        <v>28</v>
      </c>
      <c r="CX28" s="1" t="s">
        <v>30</v>
      </c>
      <c r="CY28" s="13">
        <f>CY27*365</f>
        <v>8395</v>
      </c>
      <c r="DV28" s="1" t="s">
        <v>28</v>
      </c>
      <c r="DX28" s="1" t="s">
        <v>30</v>
      </c>
      <c r="DY28" s="13">
        <f>DY27*365</f>
        <v>9125</v>
      </c>
      <c r="EV28" s="1" t="s">
        <v>28</v>
      </c>
      <c r="EX28" s="1" t="s">
        <v>30</v>
      </c>
      <c r="EY28" s="13">
        <f>EY27*365</f>
        <v>8395</v>
      </c>
    </row>
    <row r="29" spans="2:155" x14ac:dyDescent="0.25">
      <c r="B29" s="37" t="s">
        <v>160</v>
      </c>
      <c r="D29" s="1" t="s">
        <v>6</v>
      </c>
      <c r="E29" s="15">
        <f>E27-E28</f>
        <v>0.8</v>
      </c>
      <c r="G29" s="1" t="s">
        <v>102</v>
      </c>
      <c r="I29" s="1" t="s">
        <v>40</v>
      </c>
      <c r="J29" s="49">
        <f>SUM(J27:J28)</f>
        <v>691.20000000000016</v>
      </c>
      <c r="N29" s="22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V29" s="1" t="s">
        <v>141</v>
      </c>
      <c r="AX29" s="1" t="s">
        <v>44</v>
      </c>
      <c r="AY29" s="13">
        <f>COUNTIF(AS50:BK50,"YES")</f>
        <v>0</v>
      </c>
      <c r="BV29" s="1" t="s">
        <v>141</v>
      </c>
      <c r="BX29" s="1" t="s">
        <v>44</v>
      </c>
      <c r="BY29" s="13">
        <f>COUNTIF(BS50:CK50,"YES")</f>
        <v>0</v>
      </c>
      <c r="CV29" s="1" t="s">
        <v>141</v>
      </c>
      <c r="CX29" s="1" t="s">
        <v>44</v>
      </c>
      <c r="CY29" s="13">
        <f>COUNTIF(CO54:DK54,"YES")</f>
        <v>0</v>
      </c>
      <c r="DV29" s="1" t="s">
        <v>141</v>
      </c>
      <c r="DX29" s="1" t="s">
        <v>44</v>
      </c>
      <c r="DY29" s="13">
        <f>COUNTIF(DR54:EK54,"YES")</f>
        <v>0</v>
      </c>
      <c r="EV29" s="1" t="s">
        <v>141</v>
      </c>
      <c r="EX29" s="1" t="s">
        <v>44</v>
      </c>
      <c r="EY29" s="13">
        <f>COUNTIF(EO54:FK54,"YES")</f>
        <v>3</v>
      </c>
    </row>
    <row r="30" spans="2:155" x14ac:dyDescent="0.25">
      <c r="B30" s="37" t="s">
        <v>161</v>
      </c>
      <c r="D30" s="1" t="s">
        <v>6</v>
      </c>
      <c r="E30" s="14">
        <v>0.8</v>
      </c>
      <c r="G30" s="1" t="s">
        <v>128</v>
      </c>
      <c r="I30" s="1" t="s">
        <v>18</v>
      </c>
      <c r="J30" s="10">
        <v>28.8</v>
      </c>
      <c r="AV30" s="1" t="s">
        <v>142</v>
      </c>
      <c r="AX30" s="1" t="s">
        <v>27</v>
      </c>
      <c r="AY30" s="13">
        <f>COUNTIF(AN51:BK51,"Discharge")</f>
        <v>19</v>
      </c>
      <c r="BV30" s="1" t="s">
        <v>142</v>
      </c>
      <c r="BX30" s="1" t="s">
        <v>27</v>
      </c>
      <c r="BY30" s="13">
        <f>COUNTIF(BN51:CK51,"Discharge")</f>
        <v>18</v>
      </c>
      <c r="CV30" s="1" t="s">
        <v>142</v>
      </c>
      <c r="CX30" s="1" t="s">
        <v>27</v>
      </c>
      <c r="CY30" s="13">
        <f>COUNTIF(CN51:DK51,"Discharge")</f>
        <v>20</v>
      </c>
      <c r="DV30" s="1" t="s">
        <v>142</v>
      </c>
      <c r="DX30" s="1" t="s">
        <v>27</v>
      </c>
      <c r="DY30" s="13">
        <f>COUNTIF(DN51:EK51,"Discharge")</f>
        <v>20</v>
      </c>
      <c r="EV30" s="1" t="s">
        <v>142</v>
      </c>
      <c r="EX30" s="1" t="s">
        <v>27</v>
      </c>
      <c r="EY30" s="13">
        <f>COUNTIF(EN51:FK51,"Discharge")</f>
        <v>20</v>
      </c>
    </row>
    <row r="31" spans="2:155" x14ac:dyDescent="0.25">
      <c r="B31" s="37" t="s">
        <v>163</v>
      </c>
      <c r="D31" s="1" t="s">
        <v>164</v>
      </c>
      <c r="E31" s="10">
        <f>2800+(1-E24^2)*350</f>
        <v>3059.5087618500429</v>
      </c>
      <c r="J31" s="38"/>
      <c r="AV31" s="1" t="s">
        <v>143</v>
      </c>
      <c r="AX31" s="1" t="s">
        <v>40</v>
      </c>
      <c r="AY31" s="13">
        <f>AY30*$J35</f>
        <v>615.60000000000014</v>
      </c>
      <c r="BV31" s="1" t="s">
        <v>143</v>
      </c>
      <c r="BX31" s="1" t="s">
        <v>40</v>
      </c>
      <c r="BY31" s="13">
        <f>BY30*$J35</f>
        <v>583.20000000000005</v>
      </c>
      <c r="CV31" s="1" t="s">
        <v>143</v>
      </c>
      <c r="CX31" s="1" t="s">
        <v>40</v>
      </c>
      <c r="CY31" s="13">
        <f>CY30*$J35</f>
        <v>648.00000000000011</v>
      </c>
      <c r="DV31" s="1" t="s">
        <v>143</v>
      </c>
      <c r="DX31" s="1" t="s">
        <v>40</v>
      </c>
      <c r="DY31" s="13">
        <f>DY30*$J35</f>
        <v>648.00000000000011</v>
      </c>
      <c r="EV31" s="1" t="s">
        <v>143</v>
      </c>
      <c r="EX31" s="1" t="s">
        <v>40</v>
      </c>
      <c r="EY31" s="13">
        <f>EY30*$J35</f>
        <v>648.00000000000011</v>
      </c>
    </row>
    <row r="32" spans="2:155" x14ac:dyDescent="0.25">
      <c r="B32" s="37"/>
      <c r="J32" s="38"/>
      <c r="EV32" s="1" t="s">
        <v>193</v>
      </c>
      <c r="EY32" s="112">
        <f>EY30/FK37</f>
        <v>0.83333333333333337</v>
      </c>
    </row>
    <row r="33" spans="2:167" x14ac:dyDescent="0.25">
      <c r="B33" s="62" t="s">
        <v>25</v>
      </c>
      <c r="C33" s="9"/>
      <c r="D33" s="9"/>
      <c r="E33" s="9"/>
      <c r="F33" s="9"/>
      <c r="G33" s="9"/>
      <c r="H33" s="9"/>
      <c r="I33" s="9"/>
      <c r="J33" s="63"/>
    </row>
    <row r="34" spans="2:167" x14ac:dyDescent="0.25">
      <c r="B34" s="54" t="s">
        <v>17</v>
      </c>
      <c r="G34" s="2" t="s">
        <v>26</v>
      </c>
      <c r="J34" s="38"/>
    </row>
    <row r="35" spans="2:167" x14ac:dyDescent="0.25">
      <c r="B35" s="64" t="s">
        <v>112</v>
      </c>
      <c r="D35" s="1" t="s">
        <v>18</v>
      </c>
      <c r="E35" s="10">
        <v>180</v>
      </c>
      <c r="G35" s="1" t="s">
        <v>38</v>
      </c>
      <c r="I35" s="1" t="s">
        <v>37</v>
      </c>
      <c r="J35" s="13">
        <f>E47*J45</f>
        <v>32.400000000000006</v>
      </c>
    </row>
    <row r="36" spans="2:167" ht="21" x14ac:dyDescent="0.35">
      <c r="B36" s="37" t="s">
        <v>113</v>
      </c>
      <c r="D36" s="1" t="s">
        <v>21</v>
      </c>
      <c r="E36" s="10">
        <v>1</v>
      </c>
      <c r="G36" s="1" t="s">
        <v>39</v>
      </c>
      <c r="I36" s="1" t="s">
        <v>40</v>
      </c>
      <c r="J36" s="13">
        <f>J35*E43</f>
        <v>550.80000000000007</v>
      </c>
      <c r="N36" s="131" t="s">
        <v>169</v>
      </c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N36" s="131" t="s">
        <v>170</v>
      </c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N36" s="131" t="s">
        <v>176</v>
      </c>
      <c r="BO36" s="131"/>
      <c r="BP36" s="131"/>
      <c r="BQ36" s="131"/>
      <c r="BR36" s="131"/>
      <c r="BS36" s="131"/>
      <c r="BT36" s="131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131"/>
      <c r="CG36" s="131"/>
      <c r="CH36" s="131"/>
      <c r="CI36" s="131"/>
      <c r="CJ36" s="131"/>
      <c r="CK36" s="131"/>
      <c r="CN36" s="131" t="s">
        <v>177</v>
      </c>
      <c r="CO36" s="131"/>
      <c r="CP36" s="131"/>
      <c r="CQ36" s="131"/>
      <c r="CR36" s="131"/>
      <c r="CS36" s="131"/>
      <c r="CT36" s="131"/>
      <c r="CU36" s="131"/>
      <c r="CV36" s="131"/>
      <c r="CW36" s="131"/>
      <c r="CX36" s="131"/>
      <c r="CY36" s="131"/>
      <c r="CZ36" s="131"/>
      <c r="DA36" s="131"/>
      <c r="DB36" s="131"/>
      <c r="DC36" s="131"/>
      <c r="DD36" s="131"/>
      <c r="DE36" s="131"/>
      <c r="DF36" s="131"/>
      <c r="DG36" s="131"/>
      <c r="DH36" s="131"/>
      <c r="DI36" s="131"/>
      <c r="DJ36" s="131"/>
      <c r="DK36" s="131"/>
      <c r="DN36" s="131" t="s">
        <v>178</v>
      </c>
      <c r="DO36" s="131"/>
      <c r="DP36" s="131"/>
      <c r="DQ36" s="131"/>
      <c r="DR36" s="131"/>
      <c r="DS36" s="131"/>
      <c r="DT36" s="131"/>
      <c r="DU36" s="131"/>
      <c r="DV36" s="131"/>
      <c r="DW36" s="131"/>
      <c r="DX36" s="131"/>
      <c r="DY36" s="131"/>
      <c r="DZ36" s="131"/>
      <c r="EA36" s="131"/>
      <c r="EB36" s="131"/>
      <c r="EC36" s="131"/>
      <c r="ED36" s="131"/>
      <c r="EE36" s="131"/>
      <c r="EF36" s="131"/>
      <c r="EG36" s="131"/>
      <c r="EH36" s="131"/>
      <c r="EI36" s="131"/>
      <c r="EJ36" s="131"/>
      <c r="EK36" s="131"/>
      <c r="EN36" s="131" t="s">
        <v>253</v>
      </c>
      <c r="EO36" s="131"/>
      <c r="EP36" s="131"/>
      <c r="EQ36" s="131"/>
      <c r="ER36" s="131"/>
      <c r="ES36" s="131"/>
      <c r="ET36" s="131"/>
      <c r="EU36" s="131"/>
      <c r="EV36" s="131"/>
      <c r="EW36" s="131"/>
      <c r="EX36" s="131"/>
      <c r="EY36" s="131"/>
      <c r="EZ36" s="131"/>
      <c r="FA36" s="131"/>
      <c r="FB36" s="131"/>
      <c r="FC36" s="131"/>
      <c r="FD36" s="131"/>
      <c r="FE36" s="131"/>
      <c r="FF36" s="131"/>
      <c r="FG36" s="131"/>
      <c r="FH36" s="131"/>
      <c r="FI36" s="131"/>
      <c r="FJ36" s="131"/>
      <c r="FK36" s="131"/>
    </row>
    <row r="37" spans="2:167" x14ac:dyDescent="0.25">
      <c r="B37" s="37" t="s">
        <v>116</v>
      </c>
      <c r="D37" s="1" t="s">
        <v>44</v>
      </c>
      <c r="E37" s="57">
        <f>E47*J45/E35</f>
        <v>0.18000000000000002</v>
      </c>
      <c r="G37" s="1" t="s">
        <v>74</v>
      </c>
      <c r="I37" s="1" t="s">
        <v>73</v>
      </c>
      <c r="J37" s="29">
        <f>J36*365</f>
        <v>201042.00000000003</v>
      </c>
      <c r="L37" s="9" t="s">
        <v>54</v>
      </c>
      <c r="M37" s="9"/>
      <c r="N37" s="9">
        <v>1</v>
      </c>
      <c r="O37" s="9">
        <v>2</v>
      </c>
      <c r="P37" s="9">
        <v>3</v>
      </c>
      <c r="Q37" s="9">
        <v>4</v>
      </c>
      <c r="R37" s="9">
        <v>5</v>
      </c>
      <c r="S37" s="9">
        <v>6</v>
      </c>
      <c r="T37" s="9">
        <v>7</v>
      </c>
      <c r="U37" s="9">
        <v>8</v>
      </c>
      <c r="V37" s="94">
        <v>9</v>
      </c>
      <c r="W37" s="94">
        <v>10</v>
      </c>
      <c r="X37" s="94">
        <v>11</v>
      </c>
      <c r="Y37" s="94">
        <v>12</v>
      </c>
      <c r="Z37" s="94">
        <v>13</v>
      </c>
      <c r="AA37" s="94">
        <v>14</v>
      </c>
      <c r="AB37" s="94">
        <v>15</v>
      </c>
      <c r="AC37" s="94">
        <v>16</v>
      </c>
      <c r="AD37" s="94">
        <v>17</v>
      </c>
      <c r="AE37" s="94">
        <v>18</v>
      </c>
      <c r="AF37" s="94">
        <v>19</v>
      </c>
      <c r="AG37" s="94">
        <v>20</v>
      </c>
      <c r="AH37" s="94">
        <v>21</v>
      </c>
      <c r="AI37" s="94">
        <v>22</v>
      </c>
      <c r="AJ37" s="9">
        <v>23</v>
      </c>
      <c r="AK37" s="9">
        <v>24</v>
      </c>
      <c r="AL37" s="9" t="s">
        <v>54</v>
      </c>
      <c r="AM37" s="9"/>
      <c r="AN37" s="9">
        <v>1</v>
      </c>
      <c r="AO37" s="9">
        <v>2</v>
      </c>
      <c r="AP37" s="9">
        <v>3</v>
      </c>
      <c r="AQ37" s="9">
        <v>4</v>
      </c>
      <c r="AR37" s="9">
        <v>5</v>
      </c>
      <c r="AS37" s="9">
        <v>6</v>
      </c>
      <c r="AT37" s="9">
        <v>7</v>
      </c>
      <c r="AU37" s="9">
        <v>8</v>
      </c>
      <c r="AV37" s="94">
        <v>9</v>
      </c>
      <c r="AW37" s="94">
        <v>10</v>
      </c>
      <c r="AX37" s="94">
        <v>11</v>
      </c>
      <c r="AY37" s="94">
        <v>12</v>
      </c>
      <c r="AZ37" s="94">
        <v>13</v>
      </c>
      <c r="BA37" s="94">
        <v>14</v>
      </c>
      <c r="BB37" s="94">
        <v>15</v>
      </c>
      <c r="BC37" s="94">
        <v>16</v>
      </c>
      <c r="BD37" s="94">
        <v>17</v>
      </c>
      <c r="BE37" s="94">
        <v>18</v>
      </c>
      <c r="BF37" s="94">
        <v>19</v>
      </c>
      <c r="BG37" s="94">
        <v>20</v>
      </c>
      <c r="BH37" s="94">
        <v>21</v>
      </c>
      <c r="BI37" s="94">
        <v>22</v>
      </c>
      <c r="BJ37" s="9">
        <v>23</v>
      </c>
      <c r="BK37" s="9">
        <v>24</v>
      </c>
      <c r="BL37" s="9" t="s">
        <v>54</v>
      </c>
      <c r="BM37" s="9"/>
      <c r="BN37" s="9">
        <v>1</v>
      </c>
      <c r="BO37" s="9">
        <v>2</v>
      </c>
      <c r="BP37" s="9">
        <v>3</v>
      </c>
      <c r="BQ37" s="9">
        <v>4</v>
      </c>
      <c r="BR37" s="9">
        <v>5</v>
      </c>
      <c r="BS37" s="9">
        <v>6</v>
      </c>
      <c r="BT37" s="9">
        <v>7</v>
      </c>
      <c r="BU37" s="9">
        <v>8</v>
      </c>
      <c r="BV37" s="94">
        <v>9</v>
      </c>
      <c r="BW37" s="94">
        <v>10</v>
      </c>
      <c r="BX37" s="94">
        <v>11</v>
      </c>
      <c r="BY37" s="94">
        <v>12</v>
      </c>
      <c r="BZ37" s="94">
        <v>13</v>
      </c>
      <c r="CA37" s="94">
        <v>14</v>
      </c>
      <c r="CB37" s="94">
        <v>15</v>
      </c>
      <c r="CC37" s="94">
        <v>16</v>
      </c>
      <c r="CD37" s="94">
        <v>17</v>
      </c>
      <c r="CE37" s="94">
        <v>18</v>
      </c>
      <c r="CF37" s="94">
        <v>19</v>
      </c>
      <c r="CG37" s="94">
        <v>20</v>
      </c>
      <c r="CH37" s="94">
        <v>21</v>
      </c>
      <c r="CI37" s="94">
        <v>22</v>
      </c>
      <c r="CJ37" s="9">
        <v>23</v>
      </c>
      <c r="CK37" s="9">
        <v>24</v>
      </c>
      <c r="CL37" s="9" t="s">
        <v>54</v>
      </c>
      <c r="CM37" s="9"/>
      <c r="CN37" s="9">
        <v>1</v>
      </c>
      <c r="CO37" s="9">
        <v>2</v>
      </c>
      <c r="CP37" s="9">
        <v>3</v>
      </c>
      <c r="CQ37" s="9">
        <v>4</v>
      </c>
      <c r="CR37" s="9">
        <v>5</v>
      </c>
      <c r="CS37" s="9">
        <v>6</v>
      </c>
      <c r="CT37" s="9">
        <v>7</v>
      </c>
      <c r="CU37" s="9">
        <v>8</v>
      </c>
      <c r="CV37" s="94">
        <v>9</v>
      </c>
      <c r="CW37" s="94">
        <v>10</v>
      </c>
      <c r="CX37" s="94">
        <v>11</v>
      </c>
      <c r="CY37" s="94">
        <v>12</v>
      </c>
      <c r="CZ37" s="94">
        <v>13</v>
      </c>
      <c r="DA37" s="94">
        <v>14</v>
      </c>
      <c r="DB37" s="94">
        <v>15</v>
      </c>
      <c r="DC37" s="94">
        <v>16</v>
      </c>
      <c r="DD37" s="94">
        <v>17</v>
      </c>
      <c r="DE37" s="94">
        <v>18</v>
      </c>
      <c r="DF37" s="94">
        <v>19</v>
      </c>
      <c r="DG37" s="94">
        <v>20</v>
      </c>
      <c r="DH37" s="94">
        <v>21</v>
      </c>
      <c r="DI37" s="94">
        <v>22</v>
      </c>
      <c r="DJ37" s="9">
        <v>23</v>
      </c>
      <c r="DK37" s="9">
        <v>24</v>
      </c>
      <c r="DL37" s="9" t="s">
        <v>54</v>
      </c>
      <c r="DM37" s="9"/>
      <c r="DN37" s="9">
        <v>1</v>
      </c>
      <c r="DO37" s="9">
        <v>2</v>
      </c>
      <c r="DP37" s="9">
        <v>3</v>
      </c>
      <c r="DQ37" s="9">
        <v>4</v>
      </c>
      <c r="DR37" s="9">
        <v>5</v>
      </c>
      <c r="DS37" s="9">
        <v>6</v>
      </c>
      <c r="DT37" s="9">
        <v>7</v>
      </c>
      <c r="DU37" s="9">
        <v>8</v>
      </c>
      <c r="DV37" s="94">
        <v>9</v>
      </c>
      <c r="DW37" s="94">
        <v>10</v>
      </c>
      <c r="DX37" s="94">
        <v>11</v>
      </c>
      <c r="DY37" s="94">
        <v>12</v>
      </c>
      <c r="DZ37" s="94">
        <v>13</v>
      </c>
      <c r="EA37" s="94">
        <v>14</v>
      </c>
      <c r="EB37" s="94">
        <v>15</v>
      </c>
      <c r="EC37" s="94">
        <v>16</v>
      </c>
      <c r="ED37" s="94">
        <v>17</v>
      </c>
      <c r="EE37" s="94">
        <v>18</v>
      </c>
      <c r="EF37" s="94">
        <v>19</v>
      </c>
      <c r="EG37" s="94">
        <v>20</v>
      </c>
      <c r="EH37" s="94">
        <v>21</v>
      </c>
      <c r="EI37" s="94">
        <v>22</v>
      </c>
      <c r="EJ37" s="9">
        <v>23</v>
      </c>
      <c r="EK37" s="9">
        <v>24</v>
      </c>
      <c r="EL37" s="9" t="s">
        <v>54</v>
      </c>
      <c r="EM37" s="9"/>
      <c r="EN37" s="9">
        <v>1</v>
      </c>
      <c r="EO37" s="9">
        <v>2</v>
      </c>
      <c r="EP37" s="9">
        <v>3</v>
      </c>
      <c r="EQ37" s="9">
        <v>4</v>
      </c>
      <c r="ER37" s="9">
        <v>5</v>
      </c>
      <c r="ES37" s="9">
        <v>6</v>
      </c>
      <c r="ET37" s="9">
        <v>7</v>
      </c>
      <c r="EU37" s="9">
        <v>8</v>
      </c>
      <c r="EV37" s="94">
        <v>9</v>
      </c>
      <c r="EW37" s="94">
        <v>10</v>
      </c>
      <c r="EX37" s="94">
        <v>11</v>
      </c>
      <c r="EY37" s="94">
        <v>12</v>
      </c>
      <c r="EZ37" s="94">
        <v>13</v>
      </c>
      <c r="FA37" s="94">
        <v>14</v>
      </c>
      <c r="FB37" s="94">
        <v>15</v>
      </c>
      <c r="FC37" s="94">
        <v>16</v>
      </c>
      <c r="FD37" s="94">
        <v>17</v>
      </c>
      <c r="FE37" s="94">
        <v>18</v>
      </c>
      <c r="FF37" s="94">
        <v>19</v>
      </c>
      <c r="FG37" s="94">
        <v>20</v>
      </c>
      <c r="FH37" s="94">
        <v>21</v>
      </c>
      <c r="FI37" s="94">
        <v>22</v>
      </c>
      <c r="FJ37" s="9">
        <v>23</v>
      </c>
      <c r="FK37" s="9">
        <v>24</v>
      </c>
    </row>
    <row r="38" spans="2:167" x14ac:dyDescent="0.25">
      <c r="B38" s="64" t="s">
        <v>114</v>
      </c>
      <c r="D38" s="1" t="s">
        <v>18</v>
      </c>
      <c r="E38" s="10">
        <v>50</v>
      </c>
      <c r="J38" s="38"/>
      <c r="L38" s="1" t="s">
        <v>0</v>
      </c>
      <c r="M38" s="1" t="s">
        <v>14</v>
      </c>
      <c r="N38" s="25">
        <f>'Hourly Solar Generation'!B$7</f>
        <v>0</v>
      </c>
      <c r="O38" s="25">
        <f>'Hourly Solar Generation'!C$7</f>
        <v>0</v>
      </c>
      <c r="P38" s="25">
        <f>'Hourly Solar Generation'!D$7</f>
        <v>0</v>
      </c>
      <c r="Q38" s="25">
        <f>'Hourly Solar Generation'!E$7</f>
        <v>0</v>
      </c>
      <c r="R38" s="25">
        <f>'Hourly Solar Generation'!F$7</f>
        <v>0</v>
      </c>
      <c r="S38" s="25">
        <f>'Hourly Solar Generation'!G$7</f>
        <v>0</v>
      </c>
      <c r="T38" s="25">
        <f>'Hourly Solar Generation'!H$7</f>
        <v>0.60125993476725614</v>
      </c>
      <c r="U38" s="25">
        <f>'Hourly Solar Generation'!I$7</f>
        <v>3.2511358553673033</v>
      </c>
      <c r="V38" s="25">
        <f>'Hourly Solar Generation'!J$7</f>
        <v>6.5765555423031925</v>
      </c>
      <c r="W38" s="25">
        <f>'Hourly Solar Generation'!K$7</f>
        <v>9.3690830954347604</v>
      </c>
      <c r="X38" s="25">
        <f>'Hourly Solar Generation'!L$7</f>
        <v>11.161920035852591</v>
      </c>
      <c r="Y38" s="25">
        <f>'Hourly Solar Generation'!M$7</f>
        <v>12.284505368221838</v>
      </c>
      <c r="Z38" s="25">
        <f>'Hourly Solar Generation'!N$7</f>
        <v>12.06174327131189</v>
      </c>
      <c r="AA38" s="25">
        <f>'Hourly Solar Generation'!O$7</f>
        <v>11.062207072972766</v>
      </c>
      <c r="AB38" s="25">
        <f>'Hourly Solar Generation'!P$7</f>
        <v>9.2571360202939594</v>
      </c>
      <c r="AC38" s="25">
        <f>'Hourly Solar Generation'!Q$7</f>
        <v>6.5439717189479678</v>
      </c>
      <c r="AD38" s="25">
        <f>'Hourly Solar Generation'!R$7</f>
        <v>3.6435219037397841</v>
      </c>
      <c r="AE38" s="25">
        <f>'Hourly Solar Generation'!S$7</f>
        <v>1.1454678216573344</v>
      </c>
      <c r="AF38" s="25">
        <f>'Hourly Solar Generation'!T$7</f>
        <v>3.5492359129355652E-2</v>
      </c>
      <c r="AG38" s="25">
        <f>'Hourly Solar Generation'!U$7</f>
        <v>0</v>
      </c>
      <c r="AH38" s="25">
        <f>'Hourly Solar Generation'!V$7</f>
        <v>0</v>
      </c>
      <c r="AI38" s="25">
        <f>'Hourly Solar Generation'!W$7</f>
        <v>0</v>
      </c>
      <c r="AJ38" s="25">
        <f>'Hourly Solar Generation'!X$7</f>
        <v>0</v>
      </c>
      <c r="AK38" s="25">
        <f>'Hourly Solar Generation'!Y$7</f>
        <v>0</v>
      </c>
      <c r="AL38" s="1" t="s">
        <v>0</v>
      </c>
      <c r="AM38" s="1" t="s">
        <v>14</v>
      </c>
      <c r="AN38" s="25">
        <f>N38</f>
        <v>0</v>
      </c>
      <c r="AO38" s="25">
        <f t="shared" ref="AO38:BK38" si="5">O38</f>
        <v>0</v>
      </c>
      <c r="AP38" s="25">
        <f t="shared" si="5"/>
        <v>0</v>
      </c>
      <c r="AQ38" s="25">
        <f t="shared" si="5"/>
        <v>0</v>
      </c>
      <c r="AR38" s="25">
        <f t="shared" si="5"/>
        <v>0</v>
      </c>
      <c r="AS38" s="25">
        <f t="shared" si="5"/>
        <v>0</v>
      </c>
      <c r="AT38" s="25">
        <f t="shared" si="5"/>
        <v>0.60125993476725614</v>
      </c>
      <c r="AU38" s="25">
        <f t="shared" si="5"/>
        <v>3.2511358553673033</v>
      </c>
      <c r="AV38" s="25">
        <f t="shared" si="5"/>
        <v>6.5765555423031925</v>
      </c>
      <c r="AW38" s="25">
        <f t="shared" si="5"/>
        <v>9.3690830954347604</v>
      </c>
      <c r="AX38" s="25">
        <f t="shared" si="5"/>
        <v>11.161920035852591</v>
      </c>
      <c r="AY38" s="25">
        <f t="shared" si="5"/>
        <v>12.284505368221838</v>
      </c>
      <c r="AZ38" s="25">
        <f t="shared" si="5"/>
        <v>12.06174327131189</v>
      </c>
      <c r="BA38" s="25">
        <f t="shared" si="5"/>
        <v>11.062207072972766</v>
      </c>
      <c r="BB38" s="25">
        <f t="shared" si="5"/>
        <v>9.2571360202939594</v>
      </c>
      <c r="BC38" s="25">
        <f t="shared" si="5"/>
        <v>6.5439717189479678</v>
      </c>
      <c r="BD38" s="25">
        <f t="shared" si="5"/>
        <v>3.6435219037397841</v>
      </c>
      <c r="BE38" s="25">
        <f t="shared" si="5"/>
        <v>1.1454678216573344</v>
      </c>
      <c r="BF38" s="25">
        <f t="shared" si="5"/>
        <v>3.5492359129355652E-2</v>
      </c>
      <c r="BG38" s="25">
        <f t="shared" si="5"/>
        <v>0</v>
      </c>
      <c r="BH38" s="25">
        <f t="shared" si="5"/>
        <v>0</v>
      </c>
      <c r="BI38" s="25">
        <f t="shared" si="5"/>
        <v>0</v>
      </c>
      <c r="BJ38" s="25">
        <f t="shared" si="5"/>
        <v>0</v>
      </c>
      <c r="BK38" s="25">
        <f t="shared" si="5"/>
        <v>0</v>
      </c>
      <c r="BL38" s="1" t="s">
        <v>0</v>
      </c>
      <c r="BM38" s="1" t="s">
        <v>14</v>
      </c>
      <c r="BN38" s="25">
        <f>AN38</f>
        <v>0</v>
      </c>
      <c r="BO38" s="25">
        <f t="shared" ref="BO38" si="6">AO38</f>
        <v>0</v>
      </c>
      <c r="BP38" s="25">
        <f t="shared" ref="BP38" si="7">AP38</f>
        <v>0</v>
      </c>
      <c r="BQ38" s="25">
        <f t="shared" ref="BQ38" si="8">AQ38</f>
        <v>0</v>
      </c>
      <c r="BR38" s="25">
        <f t="shared" ref="BR38" si="9">AR38</f>
        <v>0</v>
      </c>
      <c r="BS38" s="25">
        <f t="shared" ref="BS38" si="10">AS38</f>
        <v>0</v>
      </c>
      <c r="BT38" s="25">
        <f t="shared" ref="BT38" si="11">AT38</f>
        <v>0.60125993476725614</v>
      </c>
      <c r="BU38" s="25">
        <f t="shared" ref="BU38" si="12">AU38</f>
        <v>3.2511358553673033</v>
      </c>
      <c r="BV38" s="25">
        <f t="shared" ref="BV38" si="13">AV38</f>
        <v>6.5765555423031925</v>
      </c>
      <c r="BW38" s="25">
        <f t="shared" ref="BW38" si="14">AW38</f>
        <v>9.3690830954347604</v>
      </c>
      <c r="BX38" s="25">
        <f t="shared" ref="BX38" si="15">AX38</f>
        <v>11.161920035852591</v>
      </c>
      <c r="BY38" s="25">
        <f t="shared" ref="BY38" si="16">AY38</f>
        <v>12.284505368221838</v>
      </c>
      <c r="BZ38" s="25">
        <f t="shared" ref="BZ38" si="17">AZ38</f>
        <v>12.06174327131189</v>
      </c>
      <c r="CA38" s="25">
        <f t="shared" ref="CA38" si="18">BA38</f>
        <v>11.062207072972766</v>
      </c>
      <c r="CB38" s="25">
        <f t="shared" ref="CB38" si="19">BB38</f>
        <v>9.2571360202939594</v>
      </c>
      <c r="CC38" s="25">
        <f t="shared" ref="CC38" si="20">BC38</f>
        <v>6.5439717189479678</v>
      </c>
      <c r="CD38" s="25">
        <f t="shared" ref="CD38" si="21">BD38</f>
        <v>3.6435219037397841</v>
      </c>
      <c r="CE38" s="25">
        <f t="shared" ref="CE38" si="22">BE38</f>
        <v>1.1454678216573344</v>
      </c>
      <c r="CF38" s="25">
        <f t="shared" ref="CF38" si="23">BF38</f>
        <v>3.5492359129355652E-2</v>
      </c>
      <c r="CG38" s="25">
        <f t="shared" ref="CG38" si="24">BG38</f>
        <v>0</v>
      </c>
      <c r="CH38" s="25">
        <f t="shared" ref="CH38" si="25">BH38</f>
        <v>0</v>
      </c>
      <c r="CI38" s="25">
        <f t="shared" ref="CI38" si="26">BI38</f>
        <v>0</v>
      </c>
      <c r="CJ38" s="25">
        <f t="shared" ref="CJ38" si="27">BJ38</f>
        <v>0</v>
      </c>
      <c r="CK38" s="25">
        <f t="shared" ref="CK38" si="28">BK38</f>
        <v>0</v>
      </c>
      <c r="CL38" s="1" t="s">
        <v>0</v>
      </c>
      <c r="CM38" s="1" t="s">
        <v>14</v>
      </c>
      <c r="CN38" s="25">
        <f>BN38</f>
        <v>0</v>
      </c>
      <c r="CO38" s="25">
        <f t="shared" ref="CO38" si="29">BO38</f>
        <v>0</v>
      </c>
      <c r="CP38" s="25">
        <f t="shared" ref="CP38" si="30">BP38</f>
        <v>0</v>
      </c>
      <c r="CQ38" s="25">
        <f t="shared" ref="CQ38" si="31">BQ38</f>
        <v>0</v>
      </c>
      <c r="CR38" s="25">
        <f t="shared" ref="CR38" si="32">BR38</f>
        <v>0</v>
      </c>
      <c r="CS38" s="25">
        <f t="shared" ref="CS38" si="33">BS38</f>
        <v>0</v>
      </c>
      <c r="CT38" s="25">
        <f t="shared" ref="CT38" si="34">BT38</f>
        <v>0.60125993476725614</v>
      </c>
      <c r="CU38" s="25">
        <f t="shared" ref="CU38" si="35">BU38</f>
        <v>3.2511358553673033</v>
      </c>
      <c r="CV38" s="25">
        <f t="shared" ref="CV38" si="36">BV38</f>
        <v>6.5765555423031925</v>
      </c>
      <c r="CW38" s="25">
        <f t="shared" ref="CW38" si="37">BW38</f>
        <v>9.3690830954347604</v>
      </c>
      <c r="CX38" s="25">
        <f t="shared" ref="CX38" si="38">BX38</f>
        <v>11.161920035852591</v>
      </c>
      <c r="CY38" s="25">
        <f t="shared" ref="CY38" si="39">BY38</f>
        <v>12.284505368221838</v>
      </c>
      <c r="CZ38" s="25">
        <f t="shared" ref="CZ38" si="40">BZ38</f>
        <v>12.06174327131189</v>
      </c>
      <c r="DA38" s="25">
        <f t="shared" ref="DA38" si="41">CA38</f>
        <v>11.062207072972766</v>
      </c>
      <c r="DB38" s="25">
        <f t="shared" ref="DB38" si="42">CB38</f>
        <v>9.2571360202939594</v>
      </c>
      <c r="DC38" s="25">
        <f t="shared" ref="DC38" si="43">CC38</f>
        <v>6.5439717189479678</v>
      </c>
      <c r="DD38" s="25">
        <f t="shared" ref="DD38" si="44">CD38</f>
        <v>3.6435219037397841</v>
      </c>
      <c r="DE38" s="25">
        <f t="shared" ref="DE38" si="45">CE38</f>
        <v>1.1454678216573344</v>
      </c>
      <c r="DF38" s="25">
        <f t="shared" ref="DF38" si="46">CF38</f>
        <v>3.5492359129355652E-2</v>
      </c>
      <c r="DG38" s="25">
        <f t="shared" ref="DG38" si="47">CG38</f>
        <v>0</v>
      </c>
      <c r="DH38" s="25">
        <f t="shared" ref="DH38" si="48">CH38</f>
        <v>0</v>
      </c>
      <c r="DI38" s="25">
        <f t="shared" ref="DI38" si="49">CI38</f>
        <v>0</v>
      </c>
      <c r="DJ38" s="25">
        <f t="shared" ref="DJ38" si="50">CJ38</f>
        <v>0</v>
      </c>
      <c r="DK38" s="25">
        <f t="shared" ref="DK38" si="51">CK38</f>
        <v>0</v>
      </c>
      <c r="DL38" s="1" t="s">
        <v>0</v>
      </c>
      <c r="DM38" s="1" t="s">
        <v>14</v>
      </c>
      <c r="DN38" s="25">
        <f>CN38</f>
        <v>0</v>
      </c>
      <c r="DO38" s="25">
        <f t="shared" ref="DO38" si="52">CO38</f>
        <v>0</v>
      </c>
      <c r="DP38" s="25">
        <f t="shared" ref="DP38" si="53">CP38</f>
        <v>0</v>
      </c>
      <c r="DQ38" s="25">
        <f t="shared" ref="DQ38" si="54">CQ38</f>
        <v>0</v>
      </c>
      <c r="DR38" s="25">
        <f t="shared" ref="DR38" si="55">CR38</f>
        <v>0</v>
      </c>
      <c r="DS38" s="25">
        <f t="shared" ref="DS38" si="56">CS38</f>
        <v>0</v>
      </c>
      <c r="DT38" s="25">
        <f t="shared" ref="DT38" si="57">CT38</f>
        <v>0.60125993476725614</v>
      </c>
      <c r="DU38" s="25">
        <f t="shared" ref="DU38" si="58">CU38</f>
        <v>3.2511358553673033</v>
      </c>
      <c r="DV38" s="25">
        <f t="shared" ref="DV38" si="59">CV38</f>
        <v>6.5765555423031925</v>
      </c>
      <c r="DW38" s="25">
        <f t="shared" ref="DW38" si="60">CW38</f>
        <v>9.3690830954347604</v>
      </c>
      <c r="DX38" s="25">
        <f t="shared" ref="DX38" si="61">CX38</f>
        <v>11.161920035852591</v>
      </c>
      <c r="DY38" s="25">
        <f t="shared" ref="DY38" si="62">CY38</f>
        <v>12.284505368221838</v>
      </c>
      <c r="DZ38" s="25">
        <f t="shared" ref="DZ38" si="63">CZ38</f>
        <v>12.06174327131189</v>
      </c>
      <c r="EA38" s="25">
        <f t="shared" ref="EA38" si="64">DA38</f>
        <v>11.062207072972766</v>
      </c>
      <c r="EB38" s="25">
        <f t="shared" ref="EB38" si="65">DB38</f>
        <v>9.2571360202939594</v>
      </c>
      <c r="EC38" s="25">
        <f t="shared" ref="EC38" si="66">DC38</f>
        <v>6.5439717189479678</v>
      </c>
      <c r="ED38" s="25">
        <f t="shared" ref="ED38" si="67">DD38</f>
        <v>3.6435219037397841</v>
      </c>
      <c r="EE38" s="25">
        <f t="shared" ref="EE38" si="68">DE38</f>
        <v>1.1454678216573344</v>
      </c>
      <c r="EF38" s="25">
        <f t="shared" ref="EF38" si="69">DF38</f>
        <v>3.5492359129355652E-2</v>
      </c>
      <c r="EG38" s="25">
        <f t="shared" ref="EG38" si="70">DG38</f>
        <v>0</v>
      </c>
      <c r="EH38" s="25">
        <f t="shared" ref="EH38" si="71">DH38</f>
        <v>0</v>
      </c>
      <c r="EI38" s="25">
        <f t="shared" ref="EI38" si="72">DI38</f>
        <v>0</v>
      </c>
      <c r="EJ38" s="25">
        <f t="shared" ref="EJ38" si="73">DJ38</f>
        <v>0</v>
      </c>
      <c r="EK38" s="25">
        <f t="shared" ref="EK38" si="74">DK38</f>
        <v>0</v>
      </c>
      <c r="EL38" s="1" t="s">
        <v>0</v>
      </c>
      <c r="EM38" s="1" t="s">
        <v>14</v>
      </c>
      <c r="EN38" s="25">
        <f>DN38</f>
        <v>0</v>
      </c>
      <c r="EO38" s="25">
        <f t="shared" ref="EO38" si="75">DO38</f>
        <v>0</v>
      </c>
      <c r="EP38" s="25">
        <f t="shared" ref="EP38" si="76">DP38</f>
        <v>0</v>
      </c>
      <c r="EQ38" s="25">
        <f t="shared" ref="EQ38" si="77">DQ38</f>
        <v>0</v>
      </c>
      <c r="ER38" s="25">
        <f t="shared" ref="ER38" si="78">DR38</f>
        <v>0</v>
      </c>
      <c r="ES38" s="25">
        <f t="shared" ref="ES38" si="79">DS38</f>
        <v>0</v>
      </c>
      <c r="ET38" s="25">
        <f t="shared" ref="ET38" si="80">DT38</f>
        <v>0.60125993476725614</v>
      </c>
      <c r="EU38" s="25">
        <f t="shared" ref="EU38" si="81">DU38</f>
        <v>3.2511358553673033</v>
      </c>
      <c r="EV38" s="25">
        <f t="shared" ref="EV38" si="82">DV38</f>
        <v>6.5765555423031925</v>
      </c>
      <c r="EW38" s="25">
        <f t="shared" ref="EW38" si="83">DW38</f>
        <v>9.3690830954347604</v>
      </c>
      <c r="EX38" s="25">
        <f t="shared" ref="EX38" si="84">DX38</f>
        <v>11.161920035852591</v>
      </c>
      <c r="EY38" s="25">
        <f t="shared" ref="EY38" si="85">DY38</f>
        <v>12.284505368221838</v>
      </c>
      <c r="EZ38" s="25">
        <f t="shared" ref="EZ38" si="86">DZ38</f>
        <v>12.06174327131189</v>
      </c>
      <c r="FA38" s="25">
        <f t="shared" ref="FA38" si="87">EA38</f>
        <v>11.062207072972766</v>
      </c>
      <c r="FB38" s="25">
        <f t="shared" ref="FB38" si="88">EB38</f>
        <v>9.2571360202939594</v>
      </c>
      <c r="FC38" s="25">
        <f t="shared" ref="FC38" si="89">EC38</f>
        <v>6.5439717189479678</v>
      </c>
      <c r="FD38" s="25">
        <f t="shared" ref="FD38" si="90">ED38</f>
        <v>3.6435219037397841</v>
      </c>
      <c r="FE38" s="25">
        <f t="shared" ref="FE38" si="91">EE38</f>
        <v>1.1454678216573344</v>
      </c>
      <c r="FF38" s="25">
        <f t="shared" ref="FF38" si="92">EF38</f>
        <v>3.5492359129355652E-2</v>
      </c>
      <c r="FG38" s="25">
        <f t="shared" ref="FG38" si="93">EG38</f>
        <v>0</v>
      </c>
      <c r="FH38" s="25">
        <f t="shared" ref="FH38" si="94">EH38</f>
        <v>0</v>
      </c>
      <c r="FI38" s="25">
        <f t="shared" ref="FI38" si="95">EI38</f>
        <v>0</v>
      </c>
      <c r="FJ38" s="25">
        <f t="shared" ref="FJ38" si="96">EJ38</f>
        <v>0</v>
      </c>
      <c r="FK38" s="25">
        <f t="shared" ref="FK38" si="97">EK38</f>
        <v>0</v>
      </c>
    </row>
    <row r="39" spans="2:167" x14ac:dyDescent="0.25">
      <c r="B39" s="37" t="s">
        <v>115</v>
      </c>
      <c r="D39" s="1" t="s">
        <v>21</v>
      </c>
      <c r="E39" s="10">
        <v>1</v>
      </c>
      <c r="G39" s="2" t="s">
        <v>67</v>
      </c>
      <c r="J39" s="38"/>
      <c r="L39" s="1" t="s">
        <v>137</v>
      </c>
      <c r="M39" s="1" t="s">
        <v>14</v>
      </c>
      <c r="N39" s="25">
        <f>$J30</f>
        <v>28.8</v>
      </c>
      <c r="O39" s="25">
        <f t="shared" ref="O39:U39" si="98">$J30</f>
        <v>28.8</v>
      </c>
      <c r="P39" s="25">
        <f t="shared" si="98"/>
        <v>28.8</v>
      </c>
      <c r="Q39" s="25">
        <f t="shared" si="98"/>
        <v>28.8</v>
      </c>
      <c r="R39" s="25">
        <f t="shared" si="98"/>
        <v>28.8</v>
      </c>
      <c r="S39" s="25">
        <f t="shared" si="98"/>
        <v>28.8</v>
      </c>
      <c r="T39" s="25">
        <f t="shared" si="98"/>
        <v>28.8</v>
      </c>
      <c r="U39" s="25">
        <f t="shared" si="98"/>
        <v>28.8</v>
      </c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>
        <f t="shared" ref="AJ39:AK39" si="99">$J30</f>
        <v>28.8</v>
      </c>
      <c r="AK39" s="25">
        <f t="shared" si="99"/>
        <v>28.8</v>
      </c>
      <c r="AL39" s="1" t="s">
        <v>137</v>
      </c>
      <c r="AM39" s="1" t="s">
        <v>14</v>
      </c>
      <c r="AN39" s="25">
        <f>$J30</f>
        <v>28.8</v>
      </c>
      <c r="AO39" s="25">
        <f t="shared" ref="AO39:AU39" si="100">$J30</f>
        <v>28.8</v>
      </c>
      <c r="AP39" s="25">
        <f t="shared" si="100"/>
        <v>28.8</v>
      </c>
      <c r="AQ39" s="25">
        <f t="shared" si="100"/>
        <v>28.8</v>
      </c>
      <c r="AR39" s="25">
        <f t="shared" si="100"/>
        <v>28.8</v>
      </c>
      <c r="AS39" s="25">
        <f t="shared" si="100"/>
        <v>28.8</v>
      </c>
      <c r="AT39" s="25">
        <f t="shared" si="100"/>
        <v>28.8</v>
      </c>
      <c r="AU39" s="25">
        <f t="shared" si="100"/>
        <v>28.8</v>
      </c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>
        <f t="shared" ref="BJ39:BK39" si="101">$J30</f>
        <v>28.8</v>
      </c>
      <c r="BK39" s="25">
        <f t="shared" si="101"/>
        <v>28.8</v>
      </c>
      <c r="BL39" s="1" t="s">
        <v>137</v>
      </c>
      <c r="BM39" s="1" t="s">
        <v>14</v>
      </c>
      <c r="BN39" s="25">
        <f>$J30</f>
        <v>28.8</v>
      </c>
      <c r="BO39" s="25">
        <f t="shared" ref="BO39:BU39" si="102">$J30</f>
        <v>28.8</v>
      </c>
      <c r="BP39" s="25">
        <f t="shared" si="102"/>
        <v>28.8</v>
      </c>
      <c r="BQ39" s="25">
        <f t="shared" si="102"/>
        <v>28.8</v>
      </c>
      <c r="BR39" s="25">
        <f t="shared" si="102"/>
        <v>28.8</v>
      </c>
      <c r="BS39" s="25">
        <f t="shared" si="102"/>
        <v>28.8</v>
      </c>
      <c r="BT39" s="25">
        <f t="shared" si="102"/>
        <v>28.8</v>
      </c>
      <c r="BU39" s="25">
        <f t="shared" si="102"/>
        <v>28.8</v>
      </c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>
        <f t="shared" ref="CJ39:CK39" si="103">$J30</f>
        <v>28.8</v>
      </c>
      <c r="CK39" s="25">
        <f t="shared" si="103"/>
        <v>28.8</v>
      </c>
      <c r="CL39" s="1" t="s">
        <v>137</v>
      </c>
      <c r="CM39" s="1" t="s">
        <v>14</v>
      </c>
      <c r="CN39" s="25">
        <f>$J30</f>
        <v>28.8</v>
      </c>
      <c r="CO39" s="25">
        <f t="shared" ref="CO39:CU39" si="104">$J30</f>
        <v>28.8</v>
      </c>
      <c r="CP39" s="25">
        <f t="shared" si="104"/>
        <v>28.8</v>
      </c>
      <c r="CQ39" s="25">
        <f t="shared" si="104"/>
        <v>28.8</v>
      </c>
      <c r="CR39" s="25">
        <f t="shared" si="104"/>
        <v>28.8</v>
      </c>
      <c r="CS39" s="25">
        <f t="shared" si="104"/>
        <v>28.8</v>
      </c>
      <c r="CT39" s="25">
        <f t="shared" si="104"/>
        <v>28.8</v>
      </c>
      <c r="CU39" s="25">
        <f t="shared" si="104"/>
        <v>28.8</v>
      </c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>
        <f t="shared" ref="DJ39:DK39" si="105">$J30</f>
        <v>28.8</v>
      </c>
      <c r="DK39" s="25">
        <f t="shared" si="105"/>
        <v>28.8</v>
      </c>
      <c r="DL39" s="1" t="s">
        <v>137</v>
      </c>
      <c r="DM39" s="1" t="s">
        <v>14</v>
      </c>
      <c r="DN39" s="25">
        <f>$J30</f>
        <v>28.8</v>
      </c>
      <c r="DO39" s="25">
        <f t="shared" ref="DO39:DU39" si="106">$J30</f>
        <v>28.8</v>
      </c>
      <c r="DP39" s="25">
        <f t="shared" si="106"/>
        <v>28.8</v>
      </c>
      <c r="DQ39" s="25">
        <f t="shared" si="106"/>
        <v>28.8</v>
      </c>
      <c r="DR39" s="25">
        <f t="shared" si="106"/>
        <v>28.8</v>
      </c>
      <c r="DS39" s="25">
        <f t="shared" si="106"/>
        <v>28.8</v>
      </c>
      <c r="DT39" s="25">
        <f t="shared" si="106"/>
        <v>28.8</v>
      </c>
      <c r="DU39" s="25">
        <f t="shared" si="106"/>
        <v>28.8</v>
      </c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>
        <f t="shared" ref="EJ39:EK39" si="107">$J30</f>
        <v>28.8</v>
      </c>
      <c r="EK39" s="25">
        <f t="shared" si="107"/>
        <v>28.8</v>
      </c>
      <c r="EL39" s="1" t="s">
        <v>137</v>
      </c>
      <c r="EM39" s="1" t="s">
        <v>14</v>
      </c>
      <c r="EN39" s="25">
        <f>$J30</f>
        <v>28.8</v>
      </c>
      <c r="EO39" s="25">
        <f t="shared" ref="EO39:EU39" si="108">$J30</f>
        <v>28.8</v>
      </c>
      <c r="EP39" s="25">
        <f t="shared" si="108"/>
        <v>28.8</v>
      </c>
      <c r="EQ39" s="25">
        <f t="shared" si="108"/>
        <v>28.8</v>
      </c>
      <c r="ER39" s="25">
        <f t="shared" si="108"/>
        <v>28.8</v>
      </c>
      <c r="ES39" s="25">
        <f t="shared" si="108"/>
        <v>28.8</v>
      </c>
      <c r="ET39" s="25">
        <f t="shared" si="108"/>
        <v>28.8</v>
      </c>
      <c r="EU39" s="25">
        <f t="shared" si="108"/>
        <v>28.8</v>
      </c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>
        <f t="shared" ref="FJ39:FK39" si="109">$J30</f>
        <v>28.8</v>
      </c>
      <c r="FK39" s="25">
        <f t="shared" si="109"/>
        <v>28.8</v>
      </c>
    </row>
    <row r="40" spans="2:167" x14ac:dyDescent="0.25">
      <c r="B40" s="37" t="s">
        <v>117</v>
      </c>
      <c r="D40" s="1" t="s">
        <v>44</v>
      </c>
      <c r="E40" s="57">
        <f>E47*J45/E38</f>
        <v>0.64800000000000013</v>
      </c>
      <c r="G40" s="1" t="s">
        <v>107</v>
      </c>
      <c r="I40" s="1" t="s">
        <v>14</v>
      </c>
      <c r="J40" s="49">
        <f>SUM(N38:AK38)</f>
        <v>86.993999999999986</v>
      </c>
      <c r="L40" s="1" t="s">
        <v>133</v>
      </c>
      <c r="M40" s="1" t="s">
        <v>14</v>
      </c>
      <c r="V40" s="46">
        <f>IF(V44&gt;0, $J30,0)</f>
        <v>28.8</v>
      </c>
      <c r="W40" s="46">
        <f t="shared" ref="W40:AI40" si="110">IF(W44&gt;0, $J30,0)</f>
        <v>28.8</v>
      </c>
      <c r="X40" s="46">
        <f t="shared" si="110"/>
        <v>28.8</v>
      </c>
      <c r="Y40" s="46">
        <f t="shared" si="110"/>
        <v>28.8</v>
      </c>
      <c r="Z40" s="46">
        <f t="shared" si="110"/>
        <v>28.8</v>
      </c>
      <c r="AA40" s="46">
        <f t="shared" si="110"/>
        <v>28.8</v>
      </c>
      <c r="AB40" s="46">
        <f t="shared" si="110"/>
        <v>28.8</v>
      </c>
      <c r="AC40" s="46">
        <f t="shared" si="110"/>
        <v>28.8</v>
      </c>
      <c r="AD40" s="46">
        <f t="shared" si="110"/>
        <v>28.8</v>
      </c>
      <c r="AE40" s="46">
        <f t="shared" si="110"/>
        <v>28.8</v>
      </c>
      <c r="AF40" s="46">
        <f t="shared" si="110"/>
        <v>28.8</v>
      </c>
      <c r="AG40" s="46">
        <f t="shared" si="110"/>
        <v>28.8</v>
      </c>
      <c r="AH40" s="46">
        <f t="shared" si="110"/>
        <v>28.8</v>
      </c>
      <c r="AI40" s="46">
        <f t="shared" si="110"/>
        <v>28.8</v>
      </c>
      <c r="AL40" s="1" t="s">
        <v>133</v>
      </c>
      <c r="AM40" s="1" t="s">
        <v>14</v>
      </c>
      <c r="AV40" s="46">
        <f>IF(AV44&gt;0, $J30,0)</f>
        <v>28.8</v>
      </c>
      <c r="AW40" s="46">
        <f t="shared" ref="AW40:BI40" si="111">IF(AW44&gt;0, $J30,0)</f>
        <v>28.8</v>
      </c>
      <c r="AX40" s="46">
        <f t="shared" si="111"/>
        <v>28.8</v>
      </c>
      <c r="AY40" s="46">
        <f t="shared" si="111"/>
        <v>28.8</v>
      </c>
      <c r="AZ40" s="46">
        <f t="shared" si="111"/>
        <v>28.8</v>
      </c>
      <c r="BA40" s="46">
        <f t="shared" si="111"/>
        <v>28.8</v>
      </c>
      <c r="BB40" s="46">
        <f t="shared" si="111"/>
        <v>28.8</v>
      </c>
      <c r="BC40" s="46">
        <f t="shared" si="111"/>
        <v>28.8</v>
      </c>
      <c r="BD40" s="46">
        <f t="shared" si="111"/>
        <v>28.8</v>
      </c>
      <c r="BE40" s="46">
        <f t="shared" si="111"/>
        <v>28.8</v>
      </c>
      <c r="BF40" s="46">
        <f t="shared" si="111"/>
        <v>28.8</v>
      </c>
      <c r="BG40" s="46">
        <f t="shared" si="111"/>
        <v>28.8</v>
      </c>
      <c r="BH40" s="46">
        <f t="shared" si="111"/>
        <v>28.8</v>
      </c>
      <c r="BI40" s="46">
        <f t="shared" si="111"/>
        <v>28.8</v>
      </c>
      <c r="BL40" s="1" t="s">
        <v>133</v>
      </c>
      <c r="BM40" s="1" t="s">
        <v>14</v>
      </c>
      <c r="BV40" s="46">
        <f>IF(BV44&gt;0, $J30,0)</f>
        <v>28.8</v>
      </c>
      <c r="BW40" s="46">
        <f t="shared" ref="BW40:CI40" si="112">IF(BW44&gt;0, $J30,0)</f>
        <v>28.8</v>
      </c>
      <c r="BX40" s="46">
        <f t="shared" si="112"/>
        <v>28.8</v>
      </c>
      <c r="BY40" s="46">
        <f t="shared" si="112"/>
        <v>28.8</v>
      </c>
      <c r="BZ40" s="46">
        <f t="shared" si="112"/>
        <v>28.8</v>
      </c>
      <c r="CA40" s="46">
        <f t="shared" si="112"/>
        <v>28.8</v>
      </c>
      <c r="CB40" s="46">
        <f t="shared" si="112"/>
        <v>28.8</v>
      </c>
      <c r="CC40" s="46">
        <f t="shared" si="112"/>
        <v>28.8</v>
      </c>
      <c r="CD40" s="46">
        <f t="shared" si="112"/>
        <v>28.8</v>
      </c>
      <c r="CE40" s="46">
        <f t="shared" si="112"/>
        <v>28.8</v>
      </c>
      <c r="CF40" s="46">
        <f t="shared" si="112"/>
        <v>28.8</v>
      </c>
      <c r="CG40" s="46">
        <f t="shared" si="112"/>
        <v>28.8</v>
      </c>
      <c r="CH40" s="46">
        <f t="shared" si="112"/>
        <v>28.8</v>
      </c>
      <c r="CI40" s="46">
        <f t="shared" si="112"/>
        <v>28.8</v>
      </c>
      <c r="CL40" s="1" t="s">
        <v>133</v>
      </c>
      <c r="CM40" s="1" t="s">
        <v>14</v>
      </c>
      <c r="CV40" s="46">
        <f>IF(CV44&gt;0, $J30,0)</f>
        <v>28.8</v>
      </c>
      <c r="CW40" s="46">
        <f t="shared" ref="CW40:DI40" si="113">IF(CW44&gt;0, $J30,0)</f>
        <v>28.8</v>
      </c>
      <c r="CX40" s="46">
        <f t="shared" si="113"/>
        <v>28.8</v>
      </c>
      <c r="CY40" s="46">
        <f t="shared" si="113"/>
        <v>28.8</v>
      </c>
      <c r="CZ40" s="46">
        <f t="shared" si="113"/>
        <v>28.8</v>
      </c>
      <c r="DA40" s="46">
        <f t="shared" si="113"/>
        <v>28.8</v>
      </c>
      <c r="DB40" s="46">
        <f t="shared" si="113"/>
        <v>28.8</v>
      </c>
      <c r="DC40" s="46">
        <f t="shared" si="113"/>
        <v>28.8</v>
      </c>
      <c r="DD40" s="46">
        <f t="shared" si="113"/>
        <v>28.8</v>
      </c>
      <c r="DE40" s="46">
        <f t="shared" si="113"/>
        <v>28.8</v>
      </c>
      <c r="DF40" s="46">
        <f t="shared" si="113"/>
        <v>28.8</v>
      </c>
      <c r="DG40" s="46">
        <f t="shared" si="113"/>
        <v>28.8</v>
      </c>
      <c r="DH40" s="46">
        <f t="shared" si="113"/>
        <v>28.8</v>
      </c>
      <c r="DI40" s="46">
        <f t="shared" si="113"/>
        <v>28.8</v>
      </c>
      <c r="DL40" s="1" t="s">
        <v>133</v>
      </c>
      <c r="DM40" s="1" t="s">
        <v>14</v>
      </c>
      <c r="DV40" s="46">
        <f>IF(DV44&gt;0, $J30,0)</f>
        <v>28.8</v>
      </c>
      <c r="DW40" s="46">
        <f t="shared" ref="DW40:EI40" si="114">IF(DW44&gt;0, $J30,0)</f>
        <v>28.8</v>
      </c>
      <c r="DX40" s="46">
        <f t="shared" si="114"/>
        <v>28.8</v>
      </c>
      <c r="DY40" s="46">
        <f t="shared" si="114"/>
        <v>28.8</v>
      </c>
      <c r="DZ40" s="46">
        <f t="shared" si="114"/>
        <v>28.8</v>
      </c>
      <c r="EA40" s="46">
        <f t="shared" si="114"/>
        <v>28.8</v>
      </c>
      <c r="EB40" s="46">
        <f t="shared" si="114"/>
        <v>28.8</v>
      </c>
      <c r="EC40" s="46">
        <f t="shared" si="114"/>
        <v>28.8</v>
      </c>
      <c r="ED40" s="46">
        <f t="shared" si="114"/>
        <v>28.8</v>
      </c>
      <c r="EE40" s="46">
        <f t="shared" si="114"/>
        <v>28.8</v>
      </c>
      <c r="EF40" s="46">
        <f t="shared" si="114"/>
        <v>28.8</v>
      </c>
      <c r="EG40" s="46">
        <f t="shared" si="114"/>
        <v>28.8</v>
      </c>
      <c r="EH40" s="46">
        <f t="shared" si="114"/>
        <v>28.8</v>
      </c>
      <c r="EI40" s="46">
        <f t="shared" si="114"/>
        <v>28.8</v>
      </c>
      <c r="EL40" s="1" t="s">
        <v>133</v>
      </c>
      <c r="EM40" s="1" t="s">
        <v>14</v>
      </c>
      <c r="EV40" s="46">
        <f>IF(EV44&gt;0, $J30,0)</f>
        <v>28.8</v>
      </c>
      <c r="EW40" s="46">
        <f t="shared" ref="EW40:FI40" si="115">IF(EW44&gt;0, $J30,0)</f>
        <v>28.8</v>
      </c>
      <c r="EX40" s="46">
        <f t="shared" si="115"/>
        <v>28.8</v>
      </c>
      <c r="EY40" s="46">
        <f t="shared" si="115"/>
        <v>28.8</v>
      </c>
      <c r="EZ40" s="46">
        <f t="shared" si="115"/>
        <v>28.8</v>
      </c>
      <c r="FA40" s="46">
        <f t="shared" si="115"/>
        <v>28.8</v>
      </c>
      <c r="FB40" s="46">
        <f t="shared" si="115"/>
        <v>28.8</v>
      </c>
      <c r="FC40" s="46">
        <f t="shared" si="115"/>
        <v>28.8</v>
      </c>
      <c r="FD40" s="46">
        <f t="shared" si="115"/>
        <v>28.8</v>
      </c>
      <c r="FE40" s="46">
        <f t="shared" si="115"/>
        <v>28.8</v>
      </c>
      <c r="FF40" s="46">
        <f t="shared" si="115"/>
        <v>28.8</v>
      </c>
      <c r="FG40" s="46">
        <f t="shared" si="115"/>
        <v>28.8</v>
      </c>
      <c r="FH40" s="46">
        <f t="shared" si="115"/>
        <v>28.8</v>
      </c>
      <c r="FI40" s="46">
        <f t="shared" si="115"/>
        <v>28.8</v>
      </c>
    </row>
    <row r="41" spans="2:167" x14ac:dyDescent="0.25">
      <c r="B41" s="37"/>
      <c r="G41" s="1" t="s">
        <v>108</v>
      </c>
      <c r="I41" s="1" t="s">
        <v>14</v>
      </c>
      <c r="J41" s="29">
        <f>J40*365</f>
        <v>31752.809999999994</v>
      </c>
      <c r="L41" s="91" t="s">
        <v>134</v>
      </c>
      <c r="M41" s="91" t="s">
        <v>14</v>
      </c>
      <c r="N41" s="93">
        <f t="shared" ref="N41:U41" si="116">SUM(N39:N40)</f>
        <v>28.8</v>
      </c>
      <c r="O41" s="93">
        <f t="shared" si="116"/>
        <v>28.8</v>
      </c>
      <c r="P41" s="93">
        <f t="shared" si="116"/>
        <v>28.8</v>
      </c>
      <c r="Q41" s="93">
        <f t="shared" si="116"/>
        <v>28.8</v>
      </c>
      <c r="R41" s="93">
        <f t="shared" si="116"/>
        <v>28.8</v>
      </c>
      <c r="S41" s="93">
        <f t="shared" si="116"/>
        <v>28.8</v>
      </c>
      <c r="T41" s="93">
        <f t="shared" si="116"/>
        <v>28.8</v>
      </c>
      <c r="U41" s="93">
        <f t="shared" si="116"/>
        <v>28.8</v>
      </c>
      <c r="V41" s="93">
        <f>SUM(V39:V40)</f>
        <v>28.8</v>
      </c>
      <c r="W41" s="93">
        <f t="shared" ref="W41:AI41" si="117">SUM(W39:W40)</f>
        <v>28.8</v>
      </c>
      <c r="X41" s="93">
        <f t="shared" si="117"/>
        <v>28.8</v>
      </c>
      <c r="Y41" s="93">
        <f t="shared" si="117"/>
        <v>28.8</v>
      </c>
      <c r="Z41" s="93">
        <f t="shared" si="117"/>
        <v>28.8</v>
      </c>
      <c r="AA41" s="93">
        <f t="shared" si="117"/>
        <v>28.8</v>
      </c>
      <c r="AB41" s="93">
        <f t="shared" si="117"/>
        <v>28.8</v>
      </c>
      <c r="AC41" s="93">
        <f t="shared" si="117"/>
        <v>28.8</v>
      </c>
      <c r="AD41" s="93">
        <f t="shared" si="117"/>
        <v>28.8</v>
      </c>
      <c r="AE41" s="93">
        <f t="shared" si="117"/>
        <v>28.8</v>
      </c>
      <c r="AF41" s="93">
        <f t="shared" si="117"/>
        <v>28.8</v>
      </c>
      <c r="AG41" s="93">
        <f t="shared" si="117"/>
        <v>28.8</v>
      </c>
      <c r="AH41" s="93">
        <f t="shared" si="117"/>
        <v>28.8</v>
      </c>
      <c r="AI41" s="93">
        <f t="shared" si="117"/>
        <v>28.8</v>
      </c>
      <c r="AJ41" s="93">
        <f>SUM(AJ39:AJ40)</f>
        <v>28.8</v>
      </c>
      <c r="AK41" s="93">
        <f>SUM(AK39:AK40)</f>
        <v>28.8</v>
      </c>
      <c r="AL41" s="91" t="s">
        <v>134</v>
      </c>
      <c r="AM41" s="91" t="s">
        <v>14</v>
      </c>
      <c r="AN41" s="93">
        <f t="shared" ref="AN41" si="118">SUM(AN39:AN40)</f>
        <v>28.8</v>
      </c>
      <c r="AO41" s="93">
        <f t="shared" ref="AO41" si="119">SUM(AO39:AO40)</f>
        <v>28.8</v>
      </c>
      <c r="AP41" s="93">
        <f t="shared" ref="AP41" si="120">SUM(AP39:AP40)</f>
        <v>28.8</v>
      </c>
      <c r="AQ41" s="93">
        <f t="shared" ref="AQ41" si="121">SUM(AQ39:AQ40)</f>
        <v>28.8</v>
      </c>
      <c r="AR41" s="93">
        <f t="shared" ref="AR41" si="122">SUM(AR39:AR40)</f>
        <v>28.8</v>
      </c>
      <c r="AS41" s="93">
        <f t="shared" ref="AS41" si="123">SUM(AS39:AS40)</f>
        <v>28.8</v>
      </c>
      <c r="AT41" s="93">
        <f t="shared" ref="AT41" si="124">SUM(AT39:AT40)</f>
        <v>28.8</v>
      </c>
      <c r="AU41" s="93">
        <f t="shared" ref="AU41" si="125">SUM(AU39:AU40)</f>
        <v>28.8</v>
      </c>
      <c r="AV41" s="93">
        <f>SUM(AV39:AV40)</f>
        <v>28.8</v>
      </c>
      <c r="AW41" s="93">
        <f t="shared" ref="AW41" si="126">SUM(AW39:AW40)</f>
        <v>28.8</v>
      </c>
      <c r="AX41" s="93">
        <f t="shared" ref="AX41" si="127">SUM(AX39:AX40)</f>
        <v>28.8</v>
      </c>
      <c r="AY41" s="93">
        <f t="shared" ref="AY41" si="128">SUM(AY39:AY40)</f>
        <v>28.8</v>
      </c>
      <c r="AZ41" s="93">
        <f t="shared" ref="AZ41" si="129">SUM(AZ39:AZ40)</f>
        <v>28.8</v>
      </c>
      <c r="BA41" s="93">
        <f t="shared" ref="BA41" si="130">SUM(BA39:BA40)</f>
        <v>28.8</v>
      </c>
      <c r="BB41" s="93">
        <f t="shared" ref="BB41" si="131">SUM(BB39:BB40)</f>
        <v>28.8</v>
      </c>
      <c r="BC41" s="93">
        <f t="shared" ref="BC41" si="132">SUM(BC39:BC40)</f>
        <v>28.8</v>
      </c>
      <c r="BD41" s="93">
        <f t="shared" ref="BD41" si="133">SUM(BD39:BD40)</f>
        <v>28.8</v>
      </c>
      <c r="BE41" s="93">
        <f t="shared" ref="BE41" si="134">SUM(BE39:BE40)</f>
        <v>28.8</v>
      </c>
      <c r="BF41" s="93">
        <f t="shared" ref="BF41" si="135">SUM(BF39:BF40)</f>
        <v>28.8</v>
      </c>
      <c r="BG41" s="93">
        <f t="shared" ref="BG41" si="136">SUM(BG39:BG40)</f>
        <v>28.8</v>
      </c>
      <c r="BH41" s="93">
        <f t="shared" ref="BH41" si="137">SUM(BH39:BH40)</f>
        <v>28.8</v>
      </c>
      <c r="BI41" s="93">
        <f t="shared" ref="BI41" si="138">SUM(BI39:BI40)</f>
        <v>28.8</v>
      </c>
      <c r="BJ41" s="93">
        <f>SUM(BJ39:BJ40)</f>
        <v>28.8</v>
      </c>
      <c r="BK41" s="93">
        <f>SUM(BK39:BK40)</f>
        <v>28.8</v>
      </c>
      <c r="BL41" s="91" t="s">
        <v>134</v>
      </c>
      <c r="BM41" s="91" t="s">
        <v>14</v>
      </c>
      <c r="BN41" s="93">
        <f t="shared" ref="BN41" si="139">SUM(BN39:BN40)</f>
        <v>28.8</v>
      </c>
      <c r="BO41" s="93">
        <f t="shared" ref="BO41" si="140">SUM(BO39:BO40)</f>
        <v>28.8</v>
      </c>
      <c r="BP41" s="93">
        <f t="shared" ref="BP41" si="141">SUM(BP39:BP40)</f>
        <v>28.8</v>
      </c>
      <c r="BQ41" s="93">
        <f t="shared" ref="BQ41" si="142">SUM(BQ39:BQ40)</f>
        <v>28.8</v>
      </c>
      <c r="BR41" s="93">
        <f t="shared" ref="BR41" si="143">SUM(BR39:BR40)</f>
        <v>28.8</v>
      </c>
      <c r="BS41" s="93">
        <f t="shared" ref="BS41" si="144">SUM(BS39:BS40)</f>
        <v>28.8</v>
      </c>
      <c r="BT41" s="93">
        <f t="shared" ref="BT41" si="145">SUM(BT39:BT40)</f>
        <v>28.8</v>
      </c>
      <c r="BU41" s="93">
        <f t="shared" ref="BU41" si="146">SUM(BU39:BU40)</f>
        <v>28.8</v>
      </c>
      <c r="BV41" s="93">
        <f>SUM(BV39:BV40)</f>
        <v>28.8</v>
      </c>
      <c r="BW41" s="93">
        <f t="shared" ref="BW41" si="147">SUM(BW39:BW40)</f>
        <v>28.8</v>
      </c>
      <c r="BX41" s="93">
        <f t="shared" ref="BX41" si="148">SUM(BX39:BX40)</f>
        <v>28.8</v>
      </c>
      <c r="BY41" s="93">
        <f t="shared" ref="BY41" si="149">SUM(BY39:BY40)</f>
        <v>28.8</v>
      </c>
      <c r="BZ41" s="93">
        <f t="shared" ref="BZ41" si="150">SUM(BZ39:BZ40)</f>
        <v>28.8</v>
      </c>
      <c r="CA41" s="93">
        <f t="shared" ref="CA41" si="151">SUM(CA39:CA40)</f>
        <v>28.8</v>
      </c>
      <c r="CB41" s="93">
        <f t="shared" ref="CB41" si="152">SUM(CB39:CB40)</f>
        <v>28.8</v>
      </c>
      <c r="CC41" s="93">
        <f t="shared" ref="CC41" si="153">SUM(CC39:CC40)</f>
        <v>28.8</v>
      </c>
      <c r="CD41" s="93">
        <f t="shared" ref="CD41" si="154">SUM(CD39:CD40)</f>
        <v>28.8</v>
      </c>
      <c r="CE41" s="93">
        <f t="shared" ref="CE41" si="155">SUM(CE39:CE40)</f>
        <v>28.8</v>
      </c>
      <c r="CF41" s="93">
        <f t="shared" ref="CF41" si="156">SUM(CF39:CF40)</f>
        <v>28.8</v>
      </c>
      <c r="CG41" s="93">
        <f t="shared" ref="CG41" si="157">SUM(CG39:CG40)</f>
        <v>28.8</v>
      </c>
      <c r="CH41" s="93">
        <f t="shared" ref="CH41" si="158">SUM(CH39:CH40)</f>
        <v>28.8</v>
      </c>
      <c r="CI41" s="93">
        <f t="shared" ref="CI41" si="159">SUM(CI39:CI40)</f>
        <v>28.8</v>
      </c>
      <c r="CJ41" s="93">
        <f>SUM(CJ39:CJ40)</f>
        <v>28.8</v>
      </c>
      <c r="CK41" s="93">
        <f>SUM(CK39:CK40)</f>
        <v>28.8</v>
      </c>
      <c r="CL41" s="91" t="s">
        <v>134</v>
      </c>
      <c r="CM41" s="91" t="s">
        <v>14</v>
      </c>
      <c r="CN41" s="93">
        <f t="shared" ref="CN41" si="160">SUM(CN39:CN40)</f>
        <v>28.8</v>
      </c>
      <c r="CO41" s="93">
        <f t="shared" ref="CO41" si="161">SUM(CO39:CO40)</f>
        <v>28.8</v>
      </c>
      <c r="CP41" s="93">
        <f t="shared" ref="CP41" si="162">SUM(CP39:CP40)</f>
        <v>28.8</v>
      </c>
      <c r="CQ41" s="93">
        <f t="shared" ref="CQ41" si="163">SUM(CQ39:CQ40)</f>
        <v>28.8</v>
      </c>
      <c r="CR41" s="93">
        <f t="shared" ref="CR41" si="164">SUM(CR39:CR40)</f>
        <v>28.8</v>
      </c>
      <c r="CS41" s="93">
        <f t="shared" ref="CS41" si="165">SUM(CS39:CS40)</f>
        <v>28.8</v>
      </c>
      <c r="CT41" s="93">
        <f t="shared" ref="CT41" si="166">SUM(CT39:CT40)</f>
        <v>28.8</v>
      </c>
      <c r="CU41" s="93">
        <f t="shared" ref="CU41" si="167">SUM(CU39:CU40)</f>
        <v>28.8</v>
      </c>
      <c r="CV41" s="93">
        <f>SUM(CV39:CV40)</f>
        <v>28.8</v>
      </c>
      <c r="CW41" s="93">
        <f t="shared" ref="CW41" si="168">SUM(CW39:CW40)</f>
        <v>28.8</v>
      </c>
      <c r="CX41" s="93">
        <f t="shared" ref="CX41" si="169">SUM(CX39:CX40)</f>
        <v>28.8</v>
      </c>
      <c r="CY41" s="93">
        <f t="shared" ref="CY41" si="170">SUM(CY39:CY40)</f>
        <v>28.8</v>
      </c>
      <c r="CZ41" s="93">
        <f t="shared" ref="CZ41" si="171">SUM(CZ39:CZ40)</f>
        <v>28.8</v>
      </c>
      <c r="DA41" s="93">
        <f t="shared" ref="DA41" si="172">SUM(DA39:DA40)</f>
        <v>28.8</v>
      </c>
      <c r="DB41" s="93">
        <f t="shared" ref="DB41" si="173">SUM(DB39:DB40)</f>
        <v>28.8</v>
      </c>
      <c r="DC41" s="93">
        <f t="shared" ref="DC41" si="174">SUM(DC39:DC40)</f>
        <v>28.8</v>
      </c>
      <c r="DD41" s="93">
        <f t="shared" ref="DD41" si="175">SUM(DD39:DD40)</f>
        <v>28.8</v>
      </c>
      <c r="DE41" s="93">
        <f t="shared" ref="DE41" si="176">SUM(DE39:DE40)</f>
        <v>28.8</v>
      </c>
      <c r="DF41" s="93">
        <f t="shared" ref="DF41" si="177">SUM(DF39:DF40)</f>
        <v>28.8</v>
      </c>
      <c r="DG41" s="93">
        <f t="shared" ref="DG41" si="178">SUM(DG39:DG40)</f>
        <v>28.8</v>
      </c>
      <c r="DH41" s="93">
        <f t="shared" ref="DH41" si="179">SUM(DH39:DH40)</f>
        <v>28.8</v>
      </c>
      <c r="DI41" s="93">
        <f t="shared" ref="DI41" si="180">SUM(DI39:DI40)</f>
        <v>28.8</v>
      </c>
      <c r="DJ41" s="93">
        <f>SUM(DJ39:DJ40)</f>
        <v>28.8</v>
      </c>
      <c r="DK41" s="93">
        <f>SUM(DK39:DK40)</f>
        <v>28.8</v>
      </c>
      <c r="DL41" s="91" t="s">
        <v>134</v>
      </c>
      <c r="DM41" s="91" t="s">
        <v>14</v>
      </c>
      <c r="DN41" s="93">
        <f t="shared" ref="DN41" si="181">SUM(DN39:DN40)</f>
        <v>28.8</v>
      </c>
      <c r="DO41" s="93">
        <f t="shared" ref="DO41" si="182">SUM(DO39:DO40)</f>
        <v>28.8</v>
      </c>
      <c r="DP41" s="93">
        <f t="shared" ref="DP41" si="183">SUM(DP39:DP40)</f>
        <v>28.8</v>
      </c>
      <c r="DQ41" s="93">
        <f t="shared" ref="DQ41" si="184">SUM(DQ39:DQ40)</f>
        <v>28.8</v>
      </c>
      <c r="DR41" s="93">
        <f t="shared" ref="DR41" si="185">SUM(DR39:DR40)</f>
        <v>28.8</v>
      </c>
      <c r="DS41" s="93">
        <f t="shared" ref="DS41" si="186">SUM(DS39:DS40)</f>
        <v>28.8</v>
      </c>
      <c r="DT41" s="93">
        <f t="shared" ref="DT41" si="187">SUM(DT39:DT40)</f>
        <v>28.8</v>
      </c>
      <c r="DU41" s="93">
        <f t="shared" ref="DU41" si="188">SUM(DU39:DU40)</f>
        <v>28.8</v>
      </c>
      <c r="DV41" s="93">
        <f>SUM(DV39:DV40)</f>
        <v>28.8</v>
      </c>
      <c r="DW41" s="93">
        <f t="shared" ref="DW41" si="189">SUM(DW39:DW40)</f>
        <v>28.8</v>
      </c>
      <c r="DX41" s="93">
        <f t="shared" ref="DX41" si="190">SUM(DX39:DX40)</f>
        <v>28.8</v>
      </c>
      <c r="DY41" s="93">
        <f t="shared" ref="DY41" si="191">SUM(DY39:DY40)</f>
        <v>28.8</v>
      </c>
      <c r="DZ41" s="93">
        <f t="shared" ref="DZ41" si="192">SUM(DZ39:DZ40)</f>
        <v>28.8</v>
      </c>
      <c r="EA41" s="93">
        <f t="shared" ref="EA41" si="193">SUM(EA39:EA40)</f>
        <v>28.8</v>
      </c>
      <c r="EB41" s="93">
        <f t="shared" ref="EB41" si="194">SUM(EB39:EB40)</f>
        <v>28.8</v>
      </c>
      <c r="EC41" s="93">
        <f t="shared" ref="EC41" si="195">SUM(EC39:EC40)</f>
        <v>28.8</v>
      </c>
      <c r="ED41" s="93">
        <f t="shared" ref="ED41" si="196">SUM(ED39:ED40)</f>
        <v>28.8</v>
      </c>
      <c r="EE41" s="93">
        <f t="shared" ref="EE41" si="197">SUM(EE39:EE40)</f>
        <v>28.8</v>
      </c>
      <c r="EF41" s="93">
        <f t="shared" ref="EF41" si="198">SUM(EF39:EF40)</f>
        <v>28.8</v>
      </c>
      <c r="EG41" s="93">
        <f t="shared" ref="EG41" si="199">SUM(EG39:EG40)</f>
        <v>28.8</v>
      </c>
      <c r="EH41" s="93">
        <f t="shared" ref="EH41" si="200">SUM(EH39:EH40)</f>
        <v>28.8</v>
      </c>
      <c r="EI41" s="93">
        <f t="shared" ref="EI41" si="201">SUM(EI39:EI40)</f>
        <v>28.8</v>
      </c>
      <c r="EJ41" s="93">
        <f>SUM(EJ39:EJ40)</f>
        <v>28.8</v>
      </c>
      <c r="EK41" s="93">
        <f>SUM(EK39:EK40)</f>
        <v>28.8</v>
      </c>
      <c r="EL41" s="91" t="s">
        <v>134</v>
      </c>
      <c r="EM41" s="91" t="s">
        <v>14</v>
      </c>
      <c r="EN41" s="93">
        <f t="shared" ref="EN41" si="202">SUM(EN39:EN40)</f>
        <v>28.8</v>
      </c>
      <c r="EO41" s="93">
        <f t="shared" ref="EO41" si="203">SUM(EO39:EO40)</f>
        <v>28.8</v>
      </c>
      <c r="EP41" s="93">
        <f t="shared" ref="EP41" si="204">SUM(EP39:EP40)</f>
        <v>28.8</v>
      </c>
      <c r="EQ41" s="93">
        <f t="shared" ref="EQ41" si="205">SUM(EQ39:EQ40)</f>
        <v>28.8</v>
      </c>
      <c r="ER41" s="93">
        <f t="shared" ref="ER41" si="206">SUM(ER39:ER40)</f>
        <v>28.8</v>
      </c>
      <c r="ES41" s="93">
        <f t="shared" ref="ES41" si="207">SUM(ES39:ES40)</f>
        <v>28.8</v>
      </c>
      <c r="ET41" s="93">
        <f t="shared" ref="ET41" si="208">SUM(ET39:ET40)</f>
        <v>28.8</v>
      </c>
      <c r="EU41" s="93">
        <f t="shared" ref="EU41" si="209">SUM(EU39:EU40)</f>
        <v>28.8</v>
      </c>
      <c r="EV41" s="93">
        <f>SUM(EV39:EV40)</f>
        <v>28.8</v>
      </c>
      <c r="EW41" s="93">
        <f t="shared" ref="EW41" si="210">SUM(EW39:EW40)</f>
        <v>28.8</v>
      </c>
      <c r="EX41" s="93">
        <f t="shared" ref="EX41" si="211">SUM(EX39:EX40)</f>
        <v>28.8</v>
      </c>
      <c r="EY41" s="93">
        <f t="shared" ref="EY41" si="212">SUM(EY39:EY40)</f>
        <v>28.8</v>
      </c>
      <c r="EZ41" s="93">
        <f t="shared" ref="EZ41" si="213">SUM(EZ39:EZ40)</f>
        <v>28.8</v>
      </c>
      <c r="FA41" s="93">
        <f t="shared" ref="FA41" si="214">SUM(FA39:FA40)</f>
        <v>28.8</v>
      </c>
      <c r="FB41" s="93">
        <f t="shared" ref="FB41" si="215">SUM(FB39:FB40)</f>
        <v>28.8</v>
      </c>
      <c r="FC41" s="93">
        <f t="shared" ref="FC41" si="216">SUM(FC39:FC40)</f>
        <v>28.8</v>
      </c>
      <c r="FD41" s="93">
        <f t="shared" ref="FD41" si="217">SUM(FD39:FD40)</f>
        <v>28.8</v>
      </c>
      <c r="FE41" s="93">
        <f t="shared" ref="FE41" si="218">SUM(FE39:FE40)</f>
        <v>28.8</v>
      </c>
      <c r="FF41" s="93">
        <f t="shared" ref="FF41" si="219">SUM(FF39:FF40)</f>
        <v>28.8</v>
      </c>
      <c r="FG41" s="93">
        <f t="shared" ref="FG41" si="220">SUM(FG39:FG40)</f>
        <v>28.8</v>
      </c>
      <c r="FH41" s="93">
        <f t="shared" ref="FH41" si="221">SUM(FH39:FH40)</f>
        <v>28.8</v>
      </c>
      <c r="FI41" s="93">
        <f t="shared" ref="FI41" si="222">SUM(FI39:FI40)</f>
        <v>28.8</v>
      </c>
      <c r="FJ41" s="93">
        <f>SUM(FJ39:FJ40)</f>
        <v>28.8</v>
      </c>
      <c r="FK41" s="93">
        <f>SUM(FK39:FK40)</f>
        <v>28.8</v>
      </c>
    </row>
    <row r="42" spans="2:167" x14ac:dyDescent="0.25">
      <c r="B42" s="54" t="s">
        <v>36</v>
      </c>
      <c r="J42" s="38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1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1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1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1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1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</row>
    <row r="43" spans="2:167" x14ac:dyDescent="0.25">
      <c r="B43" s="37" t="s">
        <v>29</v>
      </c>
      <c r="D43" s="1" t="s">
        <v>27</v>
      </c>
      <c r="E43" s="13">
        <f>R13</f>
        <v>17</v>
      </c>
      <c r="G43" s="2" t="s">
        <v>257</v>
      </c>
      <c r="J43" s="38"/>
      <c r="L43" s="19"/>
      <c r="M43" s="19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19"/>
      <c r="AM43" s="19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19"/>
      <c r="BM43" s="19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19"/>
      <c r="CM43" s="19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19"/>
      <c r="DM43" s="19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19"/>
      <c r="EM43" s="19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47"/>
    </row>
    <row r="44" spans="2:167" x14ac:dyDescent="0.25">
      <c r="B44" s="37" t="s">
        <v>28</v>
      </c>
      <c r="D44" s="1" t="s">
        <v>30</v>
      </c>
      <c r="E44" s="13">
        <f>E43*365</f>
        <v>6205</v>
      </c>
      <c r="G44" s="1" t="s">
        <v>33</v>
      </c>
      <c r="I44" s="1" t="s">
        <v>19</v>
      </c>
      <c r="J44" s="10">
        <v>800</v>
      </c>
      <c r="L44" s="2" t="s">
        <v>68</v>
      </c>
      <c r="M44" s="2" t="s">
        <v>14</v>
      </c>
      <c r="N44" s="92">
        <v>0</v>
      </c>
      <c r="O44" s="92">
        <f t="shared" ref="O44:U44" si="223">IF(O$16&gt;0,$J35,0)</f>
        <v>0</v>
      </c>
      <c r="P44" s="92">
        <f t="shared" si="223"/>
        <v>0</v>
      </c>
      <c r="Q44" s="92">
        <f t="shared" si="223"/>
        <v>0</v>
      </c>
      <c r="R44" s="92">
        <f t="shared" si="223"/>
        <v>0</v>
      </c>
      <c r="S44" s="92">
        <f t="shared" si="223"/>
        <v>32.400000000000006</v>
      </c>
      <c r="T44" s="92">
        <f t="shared" si="223"/>
        <v>32.400000000000006</v>
      </c>
      <c r="U44" s="92">
        <f t="shared" si="223"/>
        <v>32.400000000000006</v>
      </c>
      <c r="V44" s="92">
        <f>IF(V$16&gt;0,$J35,0)</f>
        <v>32.400000000000006</v>
      </c>
      <c r="W44" s="92">
        <f t="shared" ref="W44:AK44" si="224">IF(W$16&gt;0,$J35,0)</f>
        <v>32.400000000000006</v>
      </c>
      <c r="X44" s="92">
        <f t="shared" si="224"/>
        <v>32.400000000000006</v>
      </c>
      <c r="Y44" s="92">
        <f t="shared" si="224"/>
        <v>32.400000000000006</v>
      </c>
      <c r="Z44" s="92">
        <f t="shared" si="224"/>
        <v>32.400000000000006</v>
      </c>
      <c r="AA44" s="92">
        <f t="shared" si="224"/>
        <v>32.400000000000006</v>
      </c>
      <c r="AB44" s="92">
        <f t="shared" si="224"/>
        <v>32.400000000000006</v>
      </c>
      <c r="AC44" s="92">
        <f t="shared" si="224"/>
        <v>32.400000000000006</v>
      </c>
      <c r="AD44" s="92">
        <f t="shared" si="224"/>
        <v>32.400000000000006</v>
      </c>
      <c r="AE44" s="92">
        <f t="shared" si="224"/>
        <v>32.400000000000006</v>
      </c>
      <c r="AF44" s="92">
        <f t="shared" si="224"/>
        <v>32.400000000000006</v>
      </c>
      <c r="AG44" s="92">
        <f t="shared" si="224"/>
        <v>32.400000000000006</v>
      </c>
      <c r="AH44" s="92">
        <f t="shared" si="224"/>
        <v>32.400000000000006</v>
      </c>
      <c r="AI44" s="92">
        <f t="shared" si="224"/>
        <v>32.400000000000006</v>
      </c>
      <c r="AJ44" s="92">
        <f t="shared" si="224"/>
        <v>0</v>
      </c>
      <c r="AK44" s="92">
        <f t="shared" si="224"/>
        <v>0</v>
      </c>
      <c r="AL44" s="2" t="s">
        <v>68</v>
      </c>
      <c r="AM44" s="2" t="s">
        <v>14</v>
      </c>
      <c r="AN44" s="92">
        <v>0</v>
      </c>
      <c r="AO44" s="92">
        <f t="shared" ref="AO44:AU44" si="225">IF(AO$16&gt;0,$J35,0)</f>
        <v>0</v>
      </c>
      <c r="AP44" s="92">
        <f t="shared" si="225"/>
        <v>0</v>
      </c>
      <c r="AQ44" s="92">
        <f t="shared" si="225"/>
        <v>0</v>
      </c>
      <c r="AR44" s="92">
        <f t="shared" si="225"/>
        <v>0</v>
      </c>
      <c r="AS44" s="92">
        <f t="shared" si="225"/>
        <v>32.400000000000006</v>
      </c>
      <c r="AT44" s="92">
        <f t="shared" si="225"/>
        <v>32.400000000000006</v>
      </c>
      <c r="AU44" s="92">
        <f t="shared" si="225"/>
        <v>32.400000000000006</v>
      </c>
      <c r="AV44" s="92">
        <f>IF(AV$16&gt;0,$J35,0)</f>
        <v>32.400000000000006</v>
      </c>
      <c r="AW44" s="92">
        <f t="shared" ref="AW44:BK44" si="226">IF(AW$16&gt;0,$J35,0)</f>
        <v>32.400000000000006</v>
      </c>
      <c r="AX44" s="92">
        <f t="shared" si="226"/>
        <v>32.400000000000006</v>
      </c>
      <c r="AY44" s="92">
        <f t="shared" si="226"/>
        <v>32.400000000000006</v>
      </c>
      <c r="AZ44" s="92">
        <f t="shared" si="226"/>
        <v>32.400000000000006</v>
      </c>
      <c r="BA44" s="92">
        <f t="shared" si="226"/>
        <v>32.400000000000006</v>
      </c>
      <c r="BB44" s="92">
        <f t="shared" si="226"/>
        <v>32.400000000000006</v>
      </c>
      <c r="BC44" s="92">
        <f t="shared" si="226"/>
        <v>32.400000000000006</v>
      </c>
      <c r="BD44" s="92">
        <f t="shared" si="226"/>
        <v>32.400000000000006</v>
      </c>
      <c r="BE44" s="92">
        <f t="shared" si="226"/>
        <v>32.400000000000006</v>
      </c>
      <c r="BF44" s="92">
        <f t="shared" si="226"/>
        <v>32.400000000000006</v>
      </c>
      <c r="BG44" s="92">
        <f t="shared" si="226"/>
        <v>32.400000000000006</v>
      </c>
      <c r="BH44" s="92">
        <f t="shared" si="226"/>
        <v>32.400000000000006</v>
      </c>
      <c r="BI44" s="92">
        <f t="shared" si="226"/>
        <v>32.400000000000006</v>
      </c>
      <c r="BJ44" s="92">
        <f t="shared" si="226"/>
        <v>32.400000000000006</v>
      </c>
      <c r="BK44" s="92">
        <f t="shared" si="226"/>
        <v>32.400000000000006</v>
      </c>
      <c r="BL44" s="2" t="s">
        <v>68</v>
      </c>
      <c r="BM44" s="2" t="s">
        <v>14</v>
      </c>
      <c r="BN44" s="92">
        <v>0</v>
      </c>
      <c r="BO44" s="92">
        <f t="shared" ref="BO44:BU44" si="227">IF(BO$16&gt;0,$J35,0)</f>
        <v>0</v>
      </c>
      <c r="BP44" s="92">
        <f t="shared" si="227"/>
        <v>0</v>
      </c>
      <c r="BQ44" s="92">
        <f t="shared" si="227"/>
        <v>0</v>
      </c>
      <c r="BR44" s="92">
        <f t="shared" si="227"/>
        <v>0</v>
      </c>
      <c r="BS44" s="92">
        <f t="shared" si="227"/>
        <v>32.400000000000006</v>
      </c>
      <c r="BT44" s="92">
        <f t="shared" si="227"/>
        <v>32.400000000000006</v>
      </c>
      <c r="BU44" s="92">
        <f t="shared" si="227"/>
        <v>32.400000000000006</v>
      </c>
      <c r="BV44" s="92">
        <f>IF(BV$16&gt;0,$J35,0)</f>
        <v>32.400000000000006</v>
      </c>
      <c r="BW44" s="92">
        <f t="shared" ref="BW44:CK44" si="228">IF(BW$16&gt;0,$J35,0)</f>
        <v>32.400000000000006</v>
      </c>
      <c r="BX44" s="92">
        <f t="shared" si="228"/>
        <v>32.400000000000006</v>
      </c>
      <c r="BY44" s="92">
        <f t="shared" si="228"/>
        <v>32.400000000000006</v>
      </c>
      <c r="BZ44" s="92">
        <f t="shared" si="228"/>
        <v>32.400000000000006</v>
      </c>
      <c r="CA44" s="92">
        <f t="shared" si="228"/>
        <v>32.400000000000006</v>
      </c>
      <c r="CB44" s="92">
        <f t="shared" si="228"/>
        <v>32.400000000000006</v>
      </c>
      <c r="CC44" s="92">
        <f t="shared" si="228"/>
        <v>32.400000000000006</v>
      </c>
      <c r="CD44" s="92">
        <f t="shared" si="228"/>
        <v>32.400000000000006</v>
      </c>
      <c r="CE44" s="92">
        <f t="shared" si="228"/>
        <v>32.400000000000006</v>
      </c>
      <c r="CF44" s="92">
        <f t="shared" si="228"/>
        <v>32.400000000000006</v>
      </c>
      <c r="CG44" s="92">
        <f t="shared" si="228"/>
        <v>32.400000000000006</v>
      </c>
      <c r="CH44" s="92">
        <f t="shared" si="228"/>
        <v>32.400000000000006</v>
      </c>
      <c r="CI44" s="92">
        <f t="shared" si="228"/>
        <v>32.400000000000006</v>
      </c>
      <c r="CJ44" s="92">
        <f t="shared" si="228"/>
        <v>32.400000000000006</v>
      </c>
      <c r="CK44" s="92">
        <f t="shared" si="228"/>
        <v>0</v>
      </c>
      <c r="CL44" s="2" t="s">
        <v>68</v>
      </c>
      <c r="CM44" s="2" t="s">
        <v>14</v>
      </c>
      <c r="CN44" s="92">
        <v>0</v>
      </c>
      <c r="CO44" s="92">
        <f t="shared" ref="CO44:CU44" si="229">IF(CO$16&gt;0,$J35,0)</f>
        <v>0</v>
      </c>
      <c r="CP44" s="92">
        <f t="shared" si="229"/>
        <v>0</v>
      </c>
      <c r="CQ44" s="92">
        <f t="shared" si="229"/>
        <v>0</v>
      </c>
      <c r="CR44" s="92">
        <f t="shared" si="229"/>
        <v>32.400000000000006</v>
      </c>
      <c r="CS44" s="92">
        <f t="shared" si="229"/>
        <v>32.400000000000006</v>
      </c>
      <c r="CT44" s="92">
        <f t="shared" si="229"/>
        <v>32.400000000000006</v>
      </c>
      <c r="CU44" s="92">
        <f t="shared" si="229"/>
        <v>32.400000000000006</v>
      </c>
      <c r="CV44" s="92">
        <f>IF(CV$16&gt;0,$J35,0)</f>
        <v>32.400000000000006</v>
      </c>
      <c r="CW44" s="92">
        <f t="shared" ref="CW44:DK44" si="230">IF(CW$16&gt;0,$J35,0)</f>
        <v>32.400000000000006</v>
      </c>
      <c r="CX44" s="92">
        <f t="shared" si="230"/>
        <v>32.400000000000006</v>
      </c>
      <c r="CY44" s="92">
        <f t="shared" si="230"/>
        <v>32.400000000000006</v>
      </c>
      <c r="CZ44" s="92">
        <f t="shared" si="230"/>
        <v>32.400000000000006</v>
      </c>
      <c r="DA44" s="92">
        <f t="shared" si="230"/>
        <v>32.400000000000006</v>
      </c>
      <c r="DB44" s="92">
        <f t="shared" si="230"/>
        <v>32.400000000000006</v>
      </c>
      <c r="DC44" s="92">
        <f t="shared" si="230"/>
        <v>32.400000000000006</v>
      </c>
      <c r="DD44" s="92">
        <f t="shared" si="230"/>
        <v>32.400000000000006</v>
      </c>
      <c r="DE44" s="92">
        <f t="shared" si="230"/>
        <v>32.400000000000006</v>
      </c>
      <c r="DF44" s="92">
        <f t="shared" si="230"/>
        <v>32.400000000000006</v>
      </c>
      <c r="DG44" s="92">
        <f t="shared" si="230"/>
        <v>32.400000000000006</v>
      </c>
      <c r="DH44" s="92">
        <f t="shared" si="230"/>
        <v>32.400000000000006</v>
      </c>
      <c r="DI44" s="92">
        <f t="shared" si="230"/>
        <v>32.400000000000006</v>
      </c>
      <c r="DJ44" s="92">
        <f t="shared" si="230"/>
        <v>32.400000000000006</v>
      </c>
      <c r="DK44" s="92">
        <f t="shared" si="230"/>
        <v>32.400000000000006</v>
      </c>
      <c r="DL44" s="2" t="s">
        <v>68</v>
      </c>
      <c r="DM44" s="2" t="s">
        <v>14</v>
      </c>
      <c r="DN44" s="92">
        <v>0</v>
      </c>
      <c r="DO44" s="92">
        <f t="shared" ref="DO44:DU44" si="231">IF(DO$16&gt;0,$J35,0)</f>
        <v>0</v>
      </c>
      <c r="DP44" s="92">
        <f t="shared" si="231"/>
        <v>0</v>
      </c>
      <c r="DQ44" s="92">
        <f t="shared" si="231"/>
        <v>0</v>
      </c>
      <c r="DR44" s="92">
        <f t="shared" si="231"/>
        <v>32.400000000000006</v>
      </c>
      <c r="DS44" s="92">
        <f t="shared" si="231"/>
        <v>32.400000000000006</v>
      </c>
      <c r="DT44" s="92">
        <f t="shared" si="231"/>
        <v>32.400000000000006</v>
      </c>
      <c r="DU44" s="92">
        <f t="shared" si="231"/>
        <v>32.400000000000006</v>
      </c>
      <c r="DV44" s="92">
        <f>IF(DV$16&gt;0,$J35,0)</f>
        <v>32.400000000000006</v>
      </c>
      <c r="DW44" s="92">
        <f t="shared" ref="DW44:EK44" si="232">IF(DW$16&gt;0,$J35,0)</f>
        <v>32.400000000000006</v>
      </c>
      <c r="DX44" s="92">
        <f t="shared" si="232"/>
        <v>32.400000000000006</v>
      </c>
      <c r="DY44" s="92">
        <f t="shared" si="232"/>
        <v>32.400000000000006</v>
      </c>
      <c r="DZ44" s="92">
        <f t="shared" si="232"/>
        <v>32.400000000000006</v>
      </c>
      <c r="EA44" s="92">
        <f t="shared" si="232"/>
        <v>32.400000000000006</v>
      </c>
      <c r="EB44" s="92">
        <f t="shared" si="232"/>
        <v>32.400000000000006</v>
      </c>
      <c r="EC44" s="92">
        <f t="shared" si="232"/>
        <v>32.400000000000006</v>
      </c>
      <c r="ED44" s="92">
        <f t="shared" si="232"/>
        <v>32.400000000000006</v>
      </c>
      <c r="EE44" s="92">
        <f t="shared" si="232"/>
        <v>32.400000000000006</v>
      </c>
      <c r="EF44" s="92">
        <f t="shared" si="232"/>
        <v>32.400000000000006</v>
      </c>
      <c r="EG44" s="92">
        <f t="shared" si="232"/>
        <v>32.400000000000006</v>
      </c>
      <c r="EH44" s="92">
        <f t="shared" si="232"/>
        <v>32.400000000000006</v>
      </c>
      <c r="EI44" s="92">
        <f t="shared" si="232"/>
        <v>32.400000000000006</v>
      </c>
      <c r="EJ44" s="92">
        <f t="shared" si="232"/>
        <v>32.400000000000006</v>
      </c>
      <c r="EK44" s="92">
        <f t="shared" si="232"/>
        <v>32.400000000000006</v>
      </c>
      <c r="EL44" s="2" t="s">
        <v>68</v>
      </c>
      <c r="EM44" s="2" t="s">
        <v>14</v>
      </c>
      <c r="EN44" s="92">
        <v>0</v>
      </c>
      <c r="EO44" s="92">
        <f t="shared" ref="EO44:EU44" si="233">IF(EO$16&gt;0,$J35,0)</f>
        <v>32.400000000000006</v>
      </c>
      <c r="EP44" s="92">
        <f t="shared" si="233"/>
        <v>32.400000000000006</v>
      </c>
      <c r="EQ44" s="92">
        <f t="shared" si="233"/>
        <v>32.400000000000006</v>
      </c>
      <c r="ER44" s="92">
        <f t="shared" si="233"/>
        <v>32.400000000000006</v>
      </c>
      <c r="ES44" s="92">
        <f t="shared" si="233"/>
        <v>32.400000000000006</v>
      </c>
      <c r="ET44" s="92">
        <f t="shared" si="233"/>
        <v>32.400000000000006</v>
      </c>
      <c r="EU44" s="92">
        <f t="shared" si="233"/>
        <v>32.400000000000006</v>
      </c>
      <c r="EV44" s="92">
        <f>IF(EV$16&gt;0,$J35,0)</f>
        <v>32.400000000000006</v>
      </c>
      <c r="EW44" s="92">
        <f t="shared" ref="EW44:FK44" si="234">IF(EW$16&gt;0,$J35,0)</f>
        <v>32.400000000000006</v>
      </c>
      <c r="EX44" s="92">
        <f t="shared" si="234"/>
        <v>32.400000000000006</v>
      </c>
      <c r="EY44" s="92">
        <f t="shared" si="234"/>
        <v>32.400000000000006</v>
      </c>
      <c r="EZ44" s="92">
        <f t="shared" si="234"/>
        <v>32.400000000000006</v>
      </c>
      <c r="FA44" s="92">
        <f t="shared" si="234"/>
        <v>32.400000000000006</v>
      </c>
      <c r="FB44" s="92">
        <f t="shared" si="234"/>
        <v>32.400000000000006</v>
      </c>
      <c r="FC44" s="92">
        <f t="shared" si="234"/>
        <v>32.400000000000006</v>
      </c>
      <c r="FD44" s="92">
        <f t="shared" si="234"/>
        <v>32.400000000000006</v>
      </c>
      <c r="FE44" s="92">
        <f t="shared" si="234"/>
        <v>32.400000000000006</v>
      </c>
      <c r="FF44" s="92">
        <f t="shared" si="234"/>
        <v>32.400000000000006</v>
      </c>
      <c r="FG44" s="92">
        <f t="shared" si="234"/>
        <v>32.400000000000006</v>
      </c>
      <c r="FH44" s="92">
        <f t="shared" si="234"/>
        <v>32.400000000000006</v>
      </c>
      <c r="FI44" s="92">
        <f t="shared" si="234"/>
        <v>32.400000000000006</v>
      </c>
      <c r="FJ44" s="92">
        <f t="shared" si="234"/>
        <v>32.400000000000006</v>
      </c>
      <c r="FK44" s="92">
        <f t="shared" si="234"/>
        <v>32.400000000000006</v>
      </c>
    </row>
    <row r="45" spans="2:167" x14ac:dyDescent="0.25">
      <c r="B45" s="37" t="s">
        <v>31</v>
      </c>
      <c r="D45" s="1" t="s">
        <v>6</v>
      </c>
      <c r="E45" s="14">
        <v>0.2</v>
      </c>
      <c r="G45" s="1" t="s">
        <v>181</v>
      </c>
      <c r="I45" s="1" t="s">
        <v>14</v>
      </c>
      <c r="J45" s="10">
        <v>54</v>
      </c>
      <c r="L45" s="1" t="s">
        <v>187</v>
      </c>
      <c r="M45" s="1" t="s">
        <v>14</v>
      </c>
      <c r="O45" s="25">
        <f t="shared" ref="O45:U45" si="235">IF(O44=0,0,IF(O44&gt;O41,O44-O41,0))</f>
        <v>0</v>
      </c>
      <c r="P45" s="25">
        <f t="shared" si="235"/>
        <v>0</v>
      </c>
      <c r="Q45" s="25">
        <f t="shared" si="235"/>
        <v>0</v>
      </c>
      <c r="R45" s="25">
        <f t="shared" si="235"/>
        <v>0</v>
      </c>
      <c r="S45" s="25">
        <f t="shared" si="235"/>
        <v>3.600000000000005</v>
      </c>
      <c r="T45" s="25">
        <f t="shared" si="235"/>
        <v>3.600000000000005</v>
      </c>
      <c r="U45" s="25">
        <f t="shared" si="235"/>
        <v>3.600000000000005</v>
      </c>
      <c r="V45" s="25">
        <f>IF(V44=0,0,IF(V44&gt;V41,V44-V41,0))</f>
        <v>3.600000000000005</v>
      </c>
      <c r="W45" s="25">
        <f t="shared" ref="W45:AK45" si="236">IF(W44=0,0,IF(W44&gt;W41,W44-W41,0))</f>
        <v>3.600000000000005</v>
      </c>
      <c r="X45" s="25">
        <f t="shared" si="236"/>
        <v>3.600000000000005</v>
      </c>
      <c r="Y45" s="25">
        <f t="shared" si="236"/>
        <v>3.600000000000005</v>
      </c>
      <c r="Z45" s="25">
        <f t="shared" si="236"/>
        <v>3.600000000000005</v>
      </c>
      <c r="AA45" s="25">
        <f t="shared" si="236"/>
        <v>3.600000000000005</v>
      </c>
      <c r="AB45" s="25">
        <f t="shared" si="236"/>
        <v>3.600000000000005</v>
      </c>
      <c r="AC45" s="25">
        <f t="shared" si="236"/>
        <v>3.600000000000005</v>
      </c>
      <c r="AD45" s="25">
        <f t="shared" si="236"/>
        <v>3.600000000000005</v>
      </c>
      <c r="AE45" s="25">
        <f t="shared" si="236"/>
        <v>3.600000000000005</v>
      </c>
      <c r="AF45" s="25">
        <f t="shared" si="236"/>
        <v>3.600000000000005</v>
      </c>
      <c r="AG45" s="25">
        <f t="shared" si="236"/>
        <v>3.600000000000005</v>
      </c>
      <c r="AH45" s="25">
        <f t="shared" si="236"/>
        <v>3.600000000000005</v>
      </c>
      <c r="AI45" s="25">
        <f t="shared" si="236"/>
        <v>3.600000000000005</v>
      </c>
      <c r="AJ45" s="25">
        <f t="shared" si="236"/>
        <v>0</v>
      </c>
      <c r="AK45" s="25">
        <f t="shared" si="236"/>
        <v>0</v>
      </c>
      <c r="AL45" s="1" t="s">
        <v>187</v>
      </c>
      <c r="AM45" s="1" t="s">
        <v>14</v>
      </c>
      <c r="AO45" s="25">
        <f t="shared" ref="AO45" si="237">IF(AO44=0,0,IF(AO44&gt;AO41,AO44-AO41,0))</f>
        <v>0</v>
      </c>
      <c r="AP45" s="25">
        <f t="shared" ref="AP45" si="238">IF(AP44=0,0,IF(AP44&gt;AP41,AP44-AP41,0))</f>
        <v>0</v>
      </c>
      <c r="AQ45" s="25">
        <f t="shared" ref="AQ45" si="239">IF(AQ44=0,0,IF(AQ44&gt;AQ41,AQ44-AQ41,0))</f>
        <v>0</v>
      </c>
      <c r="AR45" s="25">
        <f t="shared" ref="AR45" si="240">IF(AR44=0,0,IF(AR44&gt;AR41,AR44-AR41,0))</f>
        <v>0</v>
      </c>
      <c r="AS45" s="25">
        <f t="shared" ref="AS45" si="241">IF(AS44=0,0,IF(AS44&gt;AS41,AS44-AS41,0))</f>
        <v>3.600000000000005</v>
      </c>
      <c r="AT45" s="25">
        <f t="shared" ref="AT45" si="242">IF(AT44=0,0,IF(AT44&gt;AT41,AT44-AT41,0))</f>
        <v>3.600000000000005</v>
      </c>
      <c r="AU45" s="25">
        <f t="shared" ref="AU45" si="243">IF(AU44=0,0,IF(AU44&gt;AU41,AU44-AU41,0))</f>
        <v>3.600000000000005</v>
      </c>
      <c r="AV45" s="25">
        <f>IF(AV44=0,0,IF(AV44&gt;AV41,AV44-AV41,0))</f>
        <v>3.600000000000005</v>
      </c>
      <c r="AW45" s="25">
        <f t="shared" ref="AW45" si="244">IF(AW44=0,0,IF(AW44&gt;AW41,AW44-AW41,0))</f>
        <v>3.600000000000005</v>
      </c>
      <c r="AX45" s="25">
        <f t="shared" ref="AX45" si="245">IF(AX44=0,0,IF(AX44&gt;AX41,AX44-AX41,0))</f>
        <v>3.600000000000005</v>
      </c>
      <c r="AY45" s="25">
        <f t="shared" ref="AY45" si="246">IF(AY44=0,0,IF(AY44&gt;AY41,AY44-AY41,0))</f>
        <v>3.600000000000005</v>
      </c>
      <c r="AZ45" s="25">
        <f t="shared" ref="AZ45" si="247">IF(AZ44=0,0,IF(AZ44&gt;AZ41,AZ44-AZ41,0))</f>
        <v>3.600000000000005</v>
      </c>
      <c r="BA45" s="25">
        <f t="shared" ref="BA45" si="248">IF(BA44=0,0,IF(BA44&gt;BA41,BA44-BA41,0))</f>
        <v>3.600000000000005</v>
      </c>
      <c r="BB45" s="25">
        <f t="shared" ref="BB45" si="249">IF(BB44=0,0,IF(BB44&gt;BB41,BB44-BB41,0))</f>
        <v>3.600000000000005</v>
      </c>
      <c r="BC45" s="25">
        <f t="shared" ref="BC45" si="250">IF(BC44=0,0,IF(BC44&gt;BC41,BC44-BC41,0))</f>
        <v>3.600000000000005</v>
      </c>
      <c r="BD45" s="25">
        <f t="shared" ref="BD45" si="251">IF(BD44=0,0,IF(BD44&gt;BD41,BD44-BD41,0))</f>
        <v>3.600000000000005</v>
      </c>
      <c r="BE45" s="25">
        <f t="shared" ref="BE45" si="252">IF(BE44=0,0,IF(BE44&gt;BE41,BE44-BE41,0))</f>
        <v>3.600000000000005</v>
      </c>
      <c r="BF45" s="25">
        <f t="shared" ref="BF45" si="253">IF(BF44=0,0,IF(BF44&gt;BF41,BF44-BF41,0))</f>
        <v>3.600000000000005</v>
      </c>
      <c r="BG45" s="25">
        <f t="shared" ref="BG45" si="254">IF(BG44=0,0,IF(BG44&gt;BG41,BG44-BG41,0))</f>
        <v>3.600000000000005</v>
      </c>
      <c r="BH45" s="25">
        <f t="shared" ref="BH45" si="255">IF(BH44=0,0,IF(BH44&gt;BH41,BH44-BH41,0))</f>
        <v>3.600000000000005</v>
      </c>
      <c r="BI45" s="25">
        <f t="shared" ref="BI45" si="256">IF(BI44=0,0,IF(BI44&gt;BI41,BI44-BI41,0))</f>
        <v>3.600000000000005</v>
      </c>
      <c r="BJ45" s="25">
        <f t="shared" ref="BJ45" si="257">IF(BJ44=0,0,IF(BJ44&gt;BJ41,BJ44-BJ41,0))</f>
        <v>3.600000000000005</v>
      </c>
      <c r="BK45" s="25">
        <f t="shared" ref="BK45" si="258">IF(BK44=0,0,IF(BK44&gt;BK41,BK44-BK41,0))</f>
        <v>3.600000000000005</v>
      </c>
      <c r="BL45" s="1" t="s">
        <v>187</v>
      </c>
      <c r="BM45" s="1" t="s">
        <v>14</v>
      </c>
      <c r="BO45" s="25">
        <f t="shared" ref="BO45" si="259">IF(BO44=0,0,IF(BO44&gt;BO41,BO44-BO41,0))</f>
        <v>0</v>
      </c>
      <c r="BP45" s="25">
        <f t="shared" ref="BP45" si="260">IF(BP44=0,0,IF(BP44&gt;BP41,BP44-BP41,0))</f>
        <v>0</v>
      </c>
      <c r="BQ45" s="25">
        <f t="shared" ref="BQ45" si="261">IF(BQ44=0,0,IF(BQ44&gt;BQ41,BQ44-BQ41,0))</f>
        <v>0</v>
      </c>
      <c r="BR45" s="25">
        <f t="shared" ref="BR45" si="262">IF(BR44=0,0,IF(BR44&gt;BR41,BR44-BR41,0))</f>
        <v>0</v>
      </c>
      <c r="BS45" s="25">
        <f t="shared" ref="BS45" si="263">IF(BS44=0,0,IF(BS44&gt;BS41,BS44-BS41,0))</f>
        <v>3.600000000000005</v>
      </c>
      <c r="BT45" s="25">
        <f t="shared" ref="BT45" si="264">IF(BT44=0,0,IF(BT44&gt;BT41,BT44-BT41,0))</f>
        <v>3.600000000000005</v>
      </c>
      <c r="BU45" s="25">
        <f t="shared" ref="BU45" si="265">IF(BU44=0,0,IF(BU44&gt;BU41,BU44-BU41,0))</f>
        <v>3.600000000000005</v>
      </c>
      <c r="BV45" s="25">
        <f>IF(BV44=0,0,IF(BV44&gt;BV41,BV44-BV41,0))</f>
        <v>3.600000000000005</v>
      </c>
      <c r="BW45" s="25">
        <f t="shared" ref="BW45" si="266">IF(BW44=0,0,IF(BW44&gt;BW41,BW44-BW41,0))</f>
        <v>3.600000000000005</v>
      </c>
      <c r="BX45" s="25">
        <f t="shared" ref="BX45" si="267">IF(BX44=0,0,IF(BX44&gt;BX41,BX44-BX41,0))</f>
        <v>3.600000000000005</v>
      </c>
      <c r="BY45" s="25">
        <f t="shared" ref="BY45" si="268">IF(BY44=0,0,IF(BY44&gt;BY41,BY44-BY41,0))</f>
        <v>3.600000000000005</v>
      </c>
      <c r="BZ45" s="25">
        <f t="shared" ref="BZ45" si="269">IF(BZ44=0,0,IF(BZ44&gt;BZ41,BZ44-BZ41,0))</f>
        <v>3.600000000000005</v>
      </c>
      <c r="CA45" s="25">
        <f t="shared" ref="CA45" si="270">IF(CA44=0,0,IF(CA44&gt;CA41,CA44-CA41,0))</f>
        <v>3.600000000000005</v>
      </c>
      <c r="CB45" s="25">
        <f t="shared" ref="CB45" si="271">IF(CB44=0,0,IF(CB44&gt;CB41,CB44-CB41,0))</f>
        <v>3.600000000000005</v>
      </c>
      <c r="CC45" s="25">
        <f t="shared" ref="CC45" si="272">IF(CC44=0,0,IF(CC44&gt;CC41,CC44-CC41,0))</f>
        <v>3.600000000000005</v>
      </c>
      <c r="CD45" s="25">
        <f t="shared" ref="CD45" si="273">IF(CD44=0,0,IF(CD44&gt;CD41,CD44-CD41,0))</f>
        <v>3.600000000000005</v>
      </c>
      <c r="CE45" s="25">
        <f t="shared" ref="CE45" si="274">IF(CE44=0,0,IF(CE44&gt;CE41,CE44-CE41,0))</f>
        <v>3.600000000000005</v>
      </c>
      <c r="CF45" s="25">
        <f t="shared" ref="CF45" si="275">IF(CF44=0,0,IF(CF44&gt;CF41,CF44-CF41,0))</f>
        <v>3.600000000000005</v>
      </c>
      <c r="CG45" s="25">
        <f t="shared" ref="CG45" si="276">IF(CG44=0,0,IF(CG44&gt;CG41,CG44-CG41,0))</f>
        <v>3.600000000000005</v>
      </c>
      <c r="CH45" s="25">
        <f t="shared" ref="CH45" si="277">IF(CH44=0,0,IF(CH44&gt;CH41,CH44-CH41,0))</f>
        <v>3.600000000000005</v>
      </c>
      <c r="CI45" s="25">
        <f t="shared" ref="CI45" si="278">IF(CI44=0,0,IF(CI44&gt;CI41,CI44-CI41,0))</f>
        <v>3.600000000000005</v>
      </c>
      <c r="CJ45" s="25">
        <f t="shared" ref="CJ45" si="279">IF(CJ44=0,0,IF(CJ44&gt;CJ41,CJ44-CJ41,0))</f>
        <v>3.600000000000005</v>
      </c>
      <c r="CK45" s="25">
        <f t="shared" ref="CK45" si="280">IF(CK44=0,0,IF(CK44&gt;CK41,CK44-CK41,0))</f>
        <v>0</v>
      </c>
      <c r="CL45" s="1" t="s">
        <v>187</v>
      </c>
      <c r="CM45" s="1" t="s">
        <v>14</v>
      </c>
      <c r="CO45" s="25">
        <f t="shared" ref="CO45" si="281">IF(CO44=0,0,IF(CO44&gt;CO41,CO44-CO41,0))</f>
        <v>0</v>
      </c>
      <c r="CP45" s="25">
        <f t="shared" ref="CP45" si="282">IF(CP44=0,0,IF(CP44&gt;CP41,CP44-CP41,0))</f>
        <v>0</v>
      </c>
      <c r="CQ45" s="25">
        <f t="shared" ref="CQ45" si="283">IF(CQ44=0,0,IF(CQ44&gt;CQ41,CQ44-CQ41,0))</f>
        <v>0</v>
      </c>
      <c r="CR45" s="25">
        <f t="shared" ref="CR45" si="284">IF(CR44=0,0,IF(CR44&gt;CR41,CR44-CR41,0))</f>
        <v>3.600000000000005</v>
      </c>
      <c r="CS45" s="25">
        <f t="shared" ref="CS45" si="285">IF(CS44=0,0,IF(CS44&gt;CS41,CS44-CS41,0))</f>
        <v>3.600000000000005</v>
      </c>
      <c r="CT45" s="25">
        <f t="shared" ref="CT45" si="286">IF(CT44=0,0,IF(CT44&gt;CT41,CT44-CT41,0))</f>
        <v>3.600000000000005</v>
      </c>
      <c r="CU45" s="25">
        <f t="shared" ref="CU45" si="287">IF(CU44=0,0,IF(CU44&gt;CU41,CU44-CU41,0))</f>
        <v>3.600000000000005</v>
      </c>
      <c r="CV45" s="25">
        <f>IF(CV44=0,0,IF(CV44&gt;CV41,CV44-CV41,0))</f>
        <v>3.600000000000005</v>
      </c>
      <c r="CW45" s="25">
        <f t="shared" ref="CW45" si="288">IF(CW44=0,0,IF(CW44&gt;CW41,CW44-CW41,0))</f>
        <v>3.600000000000005</v>
      </c>
      <c r="CX45" s="25">
        <f t="shared" ref="CX45" si="289">IF(CX44=0,0,IF(CX44&gt;CX41,CX44-CX41,0))</f>
        <v>3.600000000000005</v>
      </c>
      <c r="CY45" s="25">
        <f t="shared" ref="CY45" si="290">IF(CY44=0,0,IF(CY44&gt;CY41,CY44-CY41,0))</f>
        <v>3.600000000000005</v>
      </c>
      <c r="CZ45" s="25">
        <f t="shared" ref="CZ45" si="291">IF(CZ44=0,0,IF(CZ44&gt;CZ41,CZ44-CZ41,0))</f>
        <v>3.600000000000005</v>
      </c>
      <c r="DA45" s="25">
        <f t="shared" ref="DA45" si="292">IF(DA44=0,0,IF(DA44&gt;DA41,DA44-DA41,0))</f>
        <v>3.600000000000005</v>
      </c>
      <c r="DB45" s="25">
        <f t="shared" ref="DB45" si="293">IF(DB44=0,0,IF(DB44&gt;DB41,DB44-DB41,0))</f>
        <v>3.600000000000005</v>
      </c>
      <c r="DC45" s="25">
        <f t="shared" ref="DC45" si="294">IF(DC44=0,0,IF(DC44&gt;DC41,DC44-DC41,0))</f>
        <v>3.600000000000005</v>
      </c>
      <c r="DD45" s="25">
        <f t="shared" ref="DD45" si="295">IF(DD44=0,0,IF(DD44&gt;DD41,DD44-DD41,0))</f>
        <v>3.600000000000005</v>
      </c>
      <c r="DE45" s="25">
        <f t="shared" ref="DE45" si="296">IF(DE44=0,0,IF(DE44&gt;DE41,DE44-DE41,0))</f>
        <v>3.600000000000005</v>
      </c>
      <c r="DF45" s="25">
        <f t="shared" ref="DF45" si="297">IF(DF44=0,0,IF(DF44&gt;DF41,DF44-DF41,0))</f>
        <v>3.600000000000005</v>
      </c>
      <c r="DG45" s="25">
        <f t="shared" ref="DG45" si="298">IF(DG44=0,0,IF(DG44&gt;DG41,DG44-DG41,0))</f>
        <v>3.600000000000005</v>
      </c>
      <c r="DH45" s="25">
        <f t="shared" ref="DH45" si="299">IF(DH44=0,0,IF(DH44&gt;DH41,DH44-DH41,0))</f>
        <v>3.600000000000005</v>
      </c>
      <c r="DI45" s="25">
        <f t="shared" ref="DI45" si="300">IF(DI44=0,0,IF(DI44&gt;DI41,DI44-DI41,0))</f>
        <v>3.600000000000005</v>
      </c>
      <c r="DJ45" s="25">
        <f t="shared" ref="DJ45" si="301">IF(DJ44=0,0,IF(DJ44&gt;DJ41,DJ44-DJ41,0))</f>
        <v>3.600000000000005</v>
      </c>
      <c r="DK45" s="25">
        <f t="shared" ref="DK45" si="302">IF(DK44=0,0,IF(DK44&gt;DK41,DK44-DK41,0))</f>
        <v>3.600000000000005</v>
      </c>
      <c r="DL45" s="1" t="s">
        <v>187</v>
      </c>
      <c r="DM45" s="1" t="s">
        <v>14</v>
      </c>
      <c r="DO45" s="25">
        <f t="shared" ref="DO45" si="303">IF(DO44=0,0,IF(DO44&gt;DO41,DO44-DO41,0))</f>
        <v>0</v>
      </c>
      <c r="DP45" s="25">
        <f t="shared" ref="DP45" si="304">IF(DP44=0,0,IF(DP44&gt;DP41,DP44-DP41,0))</f>
        <v>0</v>
      </c>
      <c r="DQ45" s="25">
        <f t="shared" ref="DQ45" si="305">IF(DQ44=0,0,IF(DQ44&gt;DQ41,DQ44-DQ41,0))</f>
        <v>0</v>
      </c>
      <c r="DR45" s="25">
        <f t="shared" ref="DR45" si="306">IF(DR44=0,0,IF(DR44&gt;DR41,DR44-DR41,0))</f>
        <v>3.600000000000005</v>
      </c>
      <c r="DS45" s="25">
        <f t="shared" ref="DS45" si="307">IF(DS44=0,0,IF(DS44&gt;DS41,DS44-DS41,0))</f>
        <v>3.600000000000005</v>
      </c>
      <c r="DT45" s="25">
        <f t="shared" ref="DT45" si="308">IF(DT44=0,0,IF(DT44&gt;DT41,DT44-DT41,0))</f>
        <v>3.600000000000005</v>
      </c>
      <c r="DU45" s="25">
        <f t="shared" ref="DU45" si="309">IF(DU44=0,0,IF(DU44&gt;DU41,DU44-DU41,0))</f>
        <v>3.600000000000005</v>
      </c>
      <c r="DV45" s="25">
        <f>IF(DV44=0,0,IF(DV44&gt;DV41,DV44-DV41,0))</f>
        <v>3.600000000000005</v>
      </c>
      <c r="DW45" s="25">
        <f t="shared" ref="DW45" si="310">IF(DW44=0,0,IF(DW44&gt;DW41,DW44-DW41,0))</f>
        <v>3.600000000000005</v>
      </c>
      <c r="DX45" s="25">
        <f t="shared" ref="DX45" si="311">IF(DX44=0,0,IF(DX44&gt;DX41,DX44-DX41,0))</f>
        <v>3.600000000000005</v>
      </c>
      <c r="DY45" s="25">
        <f t="shared" ref="DY45" si="312">IF(DY44=0,0,IF(DY44&gt;DY41,DY44-DY41,0))</f>
        <v>3.600000000000005</v>
      </c>
      <c r="DZ45" s="25">
        <f t="shared" ref="DZ45" si="313">IF(DZ44=0,0,IF(DZ44&gt;DZ41,DZ44-DZ41,0))</f>
        <v>3.600000000000005</v>
      </c>
      <c r="EA45" s="25">
        <f t="shared" ref="EA45" si="314">IF(EA44=0,0,IF(EA44&gt;EA41,EA44-EA41,0))</f>
        <v>3.600000000000005</v>
      </c>
      <c r="EB45" s="25">
        <f t="shared" ref="EB45" si="315">IF(EB44=0,0,IF(EB44&gt;EB41,EB44-EB41,0))</f>
        <v>3.600000000000005</v>
      </c>
      <c r="EC45" s="25">
        <f t="shared" ref="EC45" si="316">IF(EC44=0,0,IF(EC44&gt;EC41,EC44-EC41,0))</f>
        <v>3.600000000000005</v>
      </c>
      <c r="ED45" s="25">
        <f t="shared" ref="ED45" si="317">IF(ED44=0,0,IF(ED44&gt;ED41,ED44-ED41,0))</f>
        <v>3.600000000000005</v>
      </c>
      <c r="EE45" s="25">
        <f t="shared" ref="EE45" si="318">IF(EE44=0,0,IF(EE44&gt;EE41,EE44-EE41,0))</f>
        <v>3.600000000000005</v>
      </c>
      <c r="EF45" s="25">
        <f t="shared" ref="EF45" si="319">IF(EF44=0,0,IF(EF44&gt;EF41,EF44-EF41,0))</f>
        <v>3.600000000000005</v>
      </c>
      <c r="EG45" s="25">
        <f t="shared" ref="EG45" si="320">IF(EG44=0,0,IF(EG44&gt;EG41,EG44-EG41,0))</f>
        <v>3.600000000000005</v>
      </c>
      <c r="EH45" s="25">
        <f t="shared" ref="EH45" si="321">IF(EH44=0,0,IF(EH44&gt;EH41,EH44-EH41,0))</f>
        <v>3.600000000000005</v>
      </c>
      <c r="EI45" s="25">
        <f t="shared" ref="EI45" si="322">IF(EI44=0,0,IF(EI44&gt;EI41,EI44-EI41,0))</f>
        <v>3.600000000000005</v>
      </c>
      <c r="EJ45" s="25">
        <f t="shared" ref="EJ45" si="323">IF(EJ44=0,0,IF(EJ44&gt;EJ41,EJ44-EJ41,0))</f>
        <v>3.600000000000005</v>
      </c>
      <c r="EK45" s="25">
        <f t="shared" ref="EK45" si="324">IF(EK44=0,0,IF(EK44&gt;EK41,EK44-EK41,0))</f>
        <v>3.600000000000005</v>
      </c>
      <c r="EL45" s="1" t="s">
        <v>187</v>
      </c>
      <c r="EM45" s="1" t="s">
        <v>14</v>
      </c>
      <c r="EO45" s="25">
        <f t="shared" ref="EO45" si="325">IF(EO44=0,0,IF(EO44&gt;EO41,EO44-EO41,0))</f>
        <v>3.600000000000005</v>
      </c>
      <c r="EP45" s="25">
        <f t="shared" ref="EP45" si="326">IF(EP44=0,0,IF(EP44&gt;EP41,EP44-EP41,0))</f>
        <v>3.600000000000005</v>
      </c>
      <c r="EQ45" s="25">
        <f t="shared" ref="EQ45" si="327">IF(EQ44=0,0,IF(EQ44&gt;EQ41,EQ44-EQ41,0))</f>
        <v>3.600000000000005</v>
      </c>
      <c r="ER45" s="25">
        <f t="shared" ref="ER45" si="328">IF(ER44=0,0,IF(ER44&gt;ER41,ER44-ER41,0))</f>
        <v>3.600000000000005</v>
      </c>
      <c r="ES45" s="25">
        <f t="shared" ref="ES45" si="329">IF(ES44=0,0,IF(ES44&gt;ES41,ES44-ES41,0))</f>
        <v>3.600000000000005</v>
      </c>
      <c r="ET45" s="25">
        <f t="shared" ref="ET45" si="330">IF(ET44=0,0,IF(ET44&gt;ET41,ET44-ET41,0))</f>
        <v>3.600000000000005</v>
      </c>
      <c r="EU45" s="25">
        <f t="shared" ref="EU45" si="331">IF(EU44=0,0,IF(EU44&gt;EU41,EU44-EU41,0))</f>
        <v>3.600000000000005</v>
      </c>
      <c r="EV45" s="25">
        <f>IF(EV44=0,0,IF(EV44&gt;EV41,EV44-EV41,0))</f>
        <v>3.600000000000005</v>
      </c>
      <c r="EW45" s="25">
        <f t="shared" ref="EW45" si="332">IF(EW44=0,0,IF(EW44&gt;EW41,EW44-EW41,0))</f>
        <v>3.600000000000005</v>
      </c>
      <c r="EX45" s="25">
        <f t="shared" ref="EX45" si="333">IF(EX44=0,0,IF(EX44&gt;EX41,EX44-EX41,0))</f>
        <v>3.600000000000005</v>
      </c>
      <c r="EY45" s="25">
        <f t="shared" ref="EY45" si="334">IF(EY44=0,0,IF(EY44&gt;EY41,EY44-EY41,0))</f>
        <v>3.600000000000005</v>
      </c>
      <c r="EZ45" s="25">
        <f t="shared" ref="EZ45" si="335">IF(EZ44=0,0,IF(EZ44&gt;EZ41,EZ44-EZ41,0))</f>
        <v>3.600000000000005</v>
      </c>
      <c r="FA45" s="25">
        <f t="shared" ref="FA45" si="336">IF(FA44=0,0,IF(FA44&gt;FA41,FA44-FA41,0))</f>
        <v>3.600000000000005</v>
      </c>
      <c r="FB45" s="25">
        <f t="shared" ref="FB45" si="337">IF(FB44=0,0,IF(FB44&gt;FB41,FB44-FB41,0))</f>
        <v>3.600000000000005</v>
      </c>
      <c r="FC45" s="25">
        <f t="shared" ref="FC45" si="338">IF(FC44=0,0,IF(FC44&gt;FC41,FC44-FC41,0))</f>
        <v>3.600000000000005</v>
      </c>
      <c r="FD45" s="25">
        <f t="shared" ref="FD45" si="339">IF(FD44=0,0,IF(FD44&gt;FD41,FD44-FD41,0))</f>
        <v>3.600000000000005</v>
      </c>
      <c r="FE45" s="25">
        <f t="shared" ref="FE45" si="340">IF(FE44=0,0,IF(FE44&gt;FE41,FE44-FE41,0))</f>
        <v>3.600000000000005</v>
      </c>
      <c r="FF45" s="25">
        <f t="shared" ref="FF45" si="341">IF(FF44=0,0,IF(FF44&gt;FF41,FF44-FF41,0))</f>
        <v>3.600000000000005</v>
      </c>
      <c r="FG45" s="25">
        <f t="shared" ref="FG45" si="342">IF(FG44=0,0,IF(FG44&gt;FG41,FG44-FG41,0))</f>
        <v>3.600000000000005</v>
      </c>
      <c r="FH45" s="25">
        <f t="shared" ref="FH45" si="343">IF(FH44=0,0,IF(FH44&gt;FH41,FH44-FH41,0))</f>
        <v>3.600000000000005</v>
      </c>
      <c r="FI45" s="25">
        <f t="shared" ref="FI45" si="344">IF(FI44=0,0,IF(FI44&gt;FI41,FI44-FI41,0))</f>
        <v>3.600000000000005</v>
      </c>
      <c r="FJ45" s="25">
        <f t="shared" ref="FJ45" si="345">IF(FJ44=0,0,IF(FJ44&gt;FJ41,FJ44-FJ41,0))</f>
        <v>3.600000000000005</v>
      </c>
      <c r="FK45" s="25">
        <f t="shared" ref="FK45" si="346">IF(FK44=0,0,IF(FK44&gt;FK41,FK44-FK41,0))</f>
        <v>3.600000000000005</v>
      </c>
    </row>
    <row r="46" spans="2:167" x14ac:dyDescent="0.25">
      <c r="B46" s="37" t="s">
        <v>32</v>
      </c>
      <c r="D46" s="1" t="s">
        <v>6</v>
      </c>
      <c r="E46" s="88">
        <v>0.8</v>
      </c>
      <c r="G46" s="1" t="s">
        <v>109</v>
      </c>
      <c r="I46" s="1" t="s">
        <v>18</v>
      </c>
      <c r="J46" s="89">
        <v>270</v>
      </c>
      <c r="L46" s="1" t="s">
        <v>72</v>
      </c>
      <c r="M46" s="1" t="s">
        <v>14</v>
      </c>
      <c r="N46" s="25">
        <f>N41-N44</f>
        <v>28.8</v>
      </c>
      <c r="O46" s="25">
        <f t="shared" ref="O46:P46" si="347">IF(O45&gt;0,IF(O50="NO",IF(O53="NO",N46-O45,N46+O41),N46+O41),IF(O53="NO",N46+O41,N46))</f>
        <v>57.6</v>
      </c>
      <c r="P46" s="25">
        <f t="shared" si="347"/>
        <v>86.4</v>
      </c>
      <c r="Q46" s="25">
        <f t="shared" ref="Q46" si="348">IF(Q45&gt;0,IF(Q50="NO",IF(Q53="NO",P46-Q45,P46+Q41),P46+Q41),IF(Q53="NO",P46+Q41,P46))</f>
        <v>115.2</v>
      </c>
      <c r="R46" s="25">
        <f t="shared" ref="R46:S46" si="349">IF(R45&gt;0,IF(R50="NO",IF(R53="NO",Q46-R45,Q46+R41),Q46+R41),IF(R53="NO",Q46+R41,Q46))</f>
        <v>144</v>
      </c>
      <c r="S46" s="25">
        <f t="shared" si="349"/>
        <v>140.4</v>
      </c>
      <c r="T46" s="25">
        <f t="shared" ref="T46:U46" si="350">IF(T45&gt;0,IF(T50="NO",IF(T53="NO",S46-T45,S46+T41),S46+T41),IF(T53="NO",S46+T41,S46))</f>
        <v>136.80000000000001</v>
      </c>
      <c r="U46" s="25">
        <f t="shared" si="350"/>
        <v>133.20000000000002</v>
      </c>
      <c r="V46" s="25">
        <f>IF(V45&gt;0,IF(V50="NO",IF(V53="NO",U46-V45,U46+V41),U46+V41),IF(V53="NO",U46+V41,U46))</f>
        <v>129.60000000000002</v>
      </c>
      <c r="W46" s="25">
        <f t="shared" ref="W46" si="351">IF(W45&gt;0,IF(W50="NO",IF(W53="NO",V46-(W44-W41),V46+W41),V46+W41),IF(W53="NO",V46+W41,V46))</f>
        <v>126.00000000000001</v>
      </c>
      <c r="X46" s="25">
        <f t="shared" ref="X46" si="352">IF(X45&gt;0,IF(X50="NO",IF(X53="NO",W46-(X44-X41),W46+X41),W46+X41),IF(X53="NO",W46+X41,W46))</f>
        <v>122.4</v>
      </c>
      <c r="Y46" s="25">
        <f t="shared" ref="Y46" si="353">IF(Y45&gt;0,IF(Y50="NO",IF(Y53="NO",X46-(Y44-Y41),X46+Y41),X46+Y41),IF(Y53="NO",X46+Y41,X46))</f>
        <v>118.8</v>
      </c>
      <c r="Z46" s="25">
        <f t="shared" ref="Z46" si="354">IF(Z45&gt;0,IF(Z50="NO",IF(Z53="NO",Y46-(Z44-Z41),Y46+Z41),Y46+Z41),IF(Z53="NO",Y46+Z41,Y46))</f>
        <v>115.19999999999999</v>
      </c>
      <c r="AA46" s="25">
        <f t="shared" ref="AA46" si="355">IF(AA45&gt;0,IF(AA50="NO",IF(AA53="NO",Z46-(AA44-AA41),Z46+AA41),Z46+AA41),IF(AA53="NO",Z46+AA41,Z46))</f>
        <v>111.59999999999998</v>
      </c>
      <c r="AB46" s="25">
        <f t="shared" ref="AB46" si="356">IF(AB45&gt;0,IF(AB50="NO",IF(AB53="NO",AA46-(AB44-AB41),AA46+AB41),AA46+AB41),IF(AB53="NO",AA46+AB41,AA46))</f>
        <v>107.99999999999997</v>
      </c>
      <c r="AC46" s="25">
        <f t="shared" ref="AC46" si="357">IF(AC45&gt;0,IF(AC50="NO",IF(AC53="NO",AB46-(AC44-AC41),AB46+AC41),AB46+AC41),IF(AC53="NO",AB46+AC41,AB46))</f>
        <v>104.39999999999996</v>
      </c>
      <c r="AD46" s="25">
        <f t="shared" ref="AD46" si="358">IF(AD45&gt;0,IF(AD50="NO",IF(AD53="NO",AC46-(AD44-AD41),AC46+AD41),AC46+AD41),IF(AD53="NO",AC46+AD41,AC46))</f>
        <v>100.79999999999995</v>
      </c>
      <c r="AE46" s="25">
        <f t="shared" ref="AE46" si="359">IF(AE45&gt;0,IF(AE50="NO",IF(AE53="NO",AD46-(AE44-AE41),AD46+AE41),AD46+AE41),IF(AE53="NO",AD46+AE41,AD46))</f>
        <v>97.199999999999946</v>
      </c>
      <c r="AF46" s="25">
        <f t="shared" ref="AF46" si="360">IF(AF45&gt;0,IF(AF50="NO",IF(AF53="NO",AE46-(AF44-AF41),AE46+AF41),AE46+AF41),IF(AF53="NO",AE46+AF41,AE46))</f>
        <v>93.599999999999937</v>
      </c>
      <c r="AG46" s="25">
        <f t="shared" ref="AG46" si="361">IF(AG45&gt;0,IF(AG50="NO",IF(AG53="NO",AF46-(AG44-AG41),AF46+AG41),AF46+AG41),IF(AG53="NO",AF46+AG41,AF46))</f>
        <v>89.999999999999929</v>
      </c>
      <c r="AH46" s="25">
        <f t="shared" ref="AH46" si="362">IF(AH45&gt;0,IF(AH50="NO",IF(AH53="NO",AG46-(AH44-AH41),AG46+AH41),AG46+AH41),IF(AH53="NO",AG46+AH41,AG46))</f>
        <v>86.39999999999992</v>
      </c>
      <c r="AI46" s="25">
        <f t="shared" ref="AI46" si="363">IF(AI45&gt;0,IF(AI50="NO",IF(AI53="NO",AH46-(AI44-AI41),AH46+AI41),AH46+AI41),IF(AI53="NO",AH46+AI41,AH46))</f>
        <v>82.799999999999912</v>
      </c>
      <c r="AJ46" s="25">
        <f t="shared" ref="AJ46" si="364">IF(AJ45&gt;0,IF(AJ50="NO",IF(AJ53="NO",AI46-(AJ44-AJ41),AI46+AJ41),AI46+AJ41),IF(AJ53="NO",AI46+AJ41,AI46))</f>
        <v>111.59999999999991</v>
      </c>
      <c r="AK46" s="25">
        <f t="shared" ref="AK46" si="365">IF(AK45&gt;0,IF(AK50="NO",IF(AK53="NO",AJ46-(AK44-AK41),AJ46+AK41),AJ46+AK41),IF(AK53="NO",AJ46+AK41,AJ46))</f>
        <v>140.39999999999992</v>
      </c>
      <c r="AL46" s="1" t="s">
        <v>72</v>
      </c>
      <c r="AM46" s="1" t="s">
        <v>14</v>
      </c>
      <c r="AN46" s="25">
        <f>AN41-AN44</f>
        <v>28.8</v>
      </c>
      <c r="AO46" s="25">
        <f t="shared" ref="AO46" si="366">IF(AO45&gt;0,IF(AO50="NO",IF(AO53="NO",AN46-AO45,AN46+AO41),AN46+AO41),IF(AO53="NO",AN46+AO41,AN46))</f>
        <v>57.6</v>
      </c>
      <c r="AP46" s="25">
        <f t="shared" ref="AP46" si="367">IF(AP45&gt;0,IF(AP50="NO",IF(AP53="NO",AO46-AP45,AO46+AP41),AO46+AP41),IF(AP53="NO",AO46+AP41,AO46))</f>
        <v>86.4</v>
      </c>
      <c r="AQ46" s="25">
        <f t="shared" ref="AQ46" si="368">IF(AQ45&gt;0,IF(AQ50="NO",IF(AQ53="NO",AP46-AQ45,AP46+AQ41),AP46+AQ41),IF(AQ53="NO",AP46+AQ41,AP46))</f>
        <v>115.2</v>
      </c>
      <c r="AR46" s="25">
        <f t="shared" ref="AR46" si="369">IF(AR45&gt;0,IF(AR50="NO",IF(AR53="NO",AQ46-AR45,AQ46+AR41),AQ46+AR41),IF(AR53="NO",AQ46+AR41,AQ46))</f>
        <v>144</v>
      </c>
      <c r="AS46" s="25">
        <f t="shared" ref="AS46" si="370">IF(AS45&gt;0,IF(AS50="NO",IF(AS53="NO",AR46-AS45,AR46+AS41),AR46+AS41),IF(AS53="NO",AR46+AS41,AR46))</f>
        <v>140.4</v>
      </c>
      <c r="AT46" s="25">
        <f t="shared" ref="AT46" si="371">IF(AT45&gt;0,IF(AT50="NO",IF(AT53="NO",AS46-AT45,AS46+AT41),AS46+AT41),IF(AT53="NO",AS46+AT41,AS46))</f>
        <v>136.80000000000001</v>
      </c>
      <c r="AU46" s="25">
        <f t="shared" ref="AU46" si="372">IF(AU45&gt;0,IF(AU50="NO",IF(AU53="NO",AT46-AU45,AT46+AU41),AT46+AU41),IF(AU53="NO",AT46+AU41,AT46))</f>
        <v>133.20000000000002</v>
      </c>
      <c r="AV46" s="25">
        <f>IF(AV45&gt;0,IF(AV50="NO",IF(AV53="NO",AU46-AV45,AU46+AV41),AU46+AV41),IF(AV53="NO",AU46+AV41,AU46))</f>
        <v>129.60000000000002</v>
      </c>
      <c r="AW46" s="25">
        <f t="shared" ref="AW46" si="373">IF(AW45&gt;0,IF(AW50="NO",IF(AW53="NO",AV46-(AW44-AW41),AV46+AW41),AV46+AW41),IF(AW53="NO",AV46+AW41,AV46))</f>
        <v>126.00000000000001</v>
      </c>
      <c r="AX46" s="25">
        <f t="shared" ref="AX46" si="374">IF(AX45&gt;0,IF(AX50="NO",IF(AX53="NO",AW46-(AX44-AX41),AW46+AX41),AW46+AX41),IF(AX53="NO",AW46+AX41,AW46))</f>
        <v>122.4</v>
      </c>
      <c r="AY46" s="25">
        <f t="shared" ref="AY46" si="375">IF(AY45&gt;0,IF(AY50="NO",IF(AY53="NO",AX46-(AY44-AY41),AX46+AY41),AX46+AY41),IF(AY53="NO",AX46+AY41,AX46))</f>
        <v>118.8</v>
      </c>
      <c r="AZ46" s="25">
        <f t="shared" ref="AZ46" si="376">IF(AZ45&gt;0,IF(AZ50="NO",IF(AZ53="NO",AY46-(AZ44-AZ41),AY46+AZ41),AY46+AZ41),IF(AZ53="NO",AY46+AZ41,AY46))</f>
        <v>115.19999999999999</v>
      </c>
      <c r="BA46" s="25">
        <f t="shared" ref="BA46" si="377">IF(BA45&gt;0,IF(BA50="NO",IF(BA53="NO",AZ46-(BA44-BA41),AZ46+BA41),AZ46+BA41),IF(BA53="NO",AZ46+BA41,AZ46))</f>
        <v>111.59999999999998</v>
      </c>
      <c r="BB46" s="25">
        <f t="shared" ref="BB46" si="378">IF(BB45&gt;0,IF(BB50="NO",IF(BB53="NO",BA46-(BB44-BB41),BA46+BB41),BA46+BB41),IF(BB53="NO",BA46+BB41,BA46))</f>
        <v>107.99999999999997</v>
      </c>
      <c r="BC46" s="25">
        <f t="shared" ref="BC46" si="379">IF(BC45&gt;0,IF(BC50="NO",IF(BC53="NO",BB46-(BC44-BC41),BB46+BC41),BB46+BC41),IF(BC53="NO",BB46+BC41,BB46))</f>
        <v>104.39999999999996</v>
      </c>
      <c r="BD46" s="25">
        <f t="shared" ref="BD46" si="380">IF(BD45&gt;0,IF(BD50="NO",IF(BD53="NO",BC46-(BD44-BD41),BC46+BD41),BC46+BD41),IF(BD53="NO",BC46+BD41,BC46))</f>
        <v>100.79999999999995</v>
      </c>
      <c r="BE46" s="25">
        <f t="shared" ref="BE46" si="381">IF(BE45&gt;0,IF(BE50="NO",IF(BE53="NO",BD46-(BE44-BE41),BD46+BE41),BD46+BE41),IF(BE53="NO",BD46+BE41,BD46))</f>
        <v>97.199999999999946</v>
      </c>
      <c r="BF46" s="25">
        <f t="shared" ref="BF46" si="382">IF(BF45&gt;0,IF(BF50="NO",IF(BF53="NO",BE46-(BF44-BF41),BE46+BF41),BE46+BF41),IF(BF53="NO",BE46+BF41,BE46))</f>
        <v>93.599999999999937</v>
      </c>
      <c r="BG46" s="25">
        <f t="shared" ref="BG46" si="383">IF(BG45&gt;0,IF(BG50="NO",IF(BG53="NO",BF46-(BG44-BG41),BF46+BG41),BF46+BG41),IF(BG53="NO",BF46+BG41,BF46))</f>
        <v>89.999999999999929</v>
      </c>
      <c r="BH46" s="25">
        <f t="shared" ref="BH46" si="384">IF(BH45&gt;0,IF(BH50="NO",IF(BH53="NO",BG46-(BH44-BH41),BG46+BH41),BG46+BH41),IF(BH53="NO",BG46+BH41,BG46))</f>
        <v>86.39999999999992</v>
      </c>
      <c r="BI46" s="25">
        <f t="shared" ref="BI46" si="385">IF(BI45&gt;0,IF(BI50="NO",IF(BI53="NO",BH46-(BI44-BI41),BH46+BI41),BH46+BI41),IF(BI53="NO",BH46+BI41,BH46))</f>
        <v>82.799999999999912</v>
      </c>
      <c r="BJ46" s="25">
        <f t="shared" ref="BJ46" si="386">IF(BJ45&gt;0,IF(BJ50="NO",IF(BJ53="NO",BI46-(BJ44-BJ41),BI46+BJ41),BI46+BJ41),IF(BJ53="NO",BI46+BJ41,BI46))</f>
        <v>79.199999999999903</v>
      </c>
      <c r="BK46" s="25">
        <f t="shared" ref="BK46" si="387">IF(BK45&gt;0,IF(BK50="NO",IF(BK53="NO",BJ46-(BK44-BK41),BJ46+BK41),BJ46+BK41),IF(BK53="NO",BJ46+BK41,BJ46))</f>
        <v>75.599999999999895</v>
      </c>
      <c r="BL46" s="1" t="s">
        <v>72</v>
      </c>
      <c r="BM46" s="1" t="s">
        <v>14</v>
      </c>
      <c r="BN46" s="25">
        <f>BN41-BN44</f>
        <v>28.8</v>
      </c>
      <c r="BO46" s="25">
        <f t="shared" ref="BO46" si="388">IF(BO45&gt;0,IF(BO50="NO",IF(BO53="NO",BN46-BO45,BN46+BO41),BN46+BO41),IF(BO53="NO",BN46+BO41,BN46))</f>
        <v>57.6</v>
      </c>
      <c r="BP46" s="25">
        <f t="shared" ref="BP46" si="389">IF(BP45&gt;0,IF(BP50="NO",IF(BP53="NO",BO46-BP45,BO46+BP41),BO46+BP41),IF(BP53="NO",BO46+BP41,BO46))</f>
        <v>86.4</v>
      </c>
      <c r="BQ46" s="25">
        <f t="shared" ref="BQ46" si="390">IF(BQ45&gt;0,IF(BQ50="NO",IF(BQ53="NO",BP46-BQ45,BP46+BQ41),BP46+BQ41),IF(BQ53="NO",BP46+BQ41,BP46))</f>
        <v>115.2</v>
      </c>
      <c r="BR46" s="25">
        <f t="shared" ref="BR46" si="391">IF(BR45&gt;0,IF(BR50="NO",IF(BR53="NO",BQ46-BR45,BQ46+BR41),BQ46+BR41),IF(BR53="NO",BQ46+BR41,BQ46))</f>
        <v>144</v>
      </c>
      <c r="BS46" s="25">
        <f t="shared" ref="BS46" si="392">IF(BS45&gt;0,IF(BS50="NO",IF(BS53="NO",BR46-BS45,BR46+BS41),BR46+BS41),IF(BS53="NO",BR46+BS41,BR46))</f>
        <v>140.4</v>
      </c>
      <c r="BT46" s="25">
        <f t="shared" ref="BT46" si="393">IF(BT45&gt;0,IF(BT50="NO",IF(BT53="NO",BS46-BT45,BS46+BT41),BS46+BT41),IF(BT53="NO",BS46+BT41,BS46))</f>
        <v>136.80000000000001</v>
      </c>
      <c r="BU46" s="25">
        <f t="shared" ref="BU46" si="394">IF(BU45&gt;0,IF(BU50="NO",IF(BU53="NO",BT46-BU45,BT46+BU41),BT46+BU41),IF(BU53="NO",BT46+BU41,BT46))</f>
        <v>133.20000000000002</v>
      </c>
      <c r="BV46" s="25">
        <f>IF(BV45&gt;0,IF(BV50="NO",IF(BV53="NO",BU46-BV45,BU46+BV41),BU46+BV41),IF(BV53="NO",BU46+BV41,BU46))</f>
        <v>129.60000000000002</v>
      </c>
      <c r="BW46" s="25">
        <f t="shared" ref="BW46" si="395">IF(BW45&gt;0,IF(BW50="NO",IF(BW53="NO",BV46-(BW44-BW41),BV46+BW41),BV46+BW41),IF(BW53="NO",BV46+BW41,BV46))</f>
        <v>126.00000000000001</v>
      </c>
      <c r="BX46" s="25">
        <f t="shared" ref="BX46" si="396">IF(BX45&gt;0,IF(BX50="NO",IF(BX53="NO",BW46-(BX44-BX41),BW46+BX41),BW46+BX41),IF(BX53="NO",BW46+BX41,BW46))</f>
        <v>122.4</v>
      </c>
      <c r="BY46" s="25">
        <f t="shared" ref="BY46" si="397">IF(BY45&gt;0,IF(BY50="NO",IF(BY53="NO",BX46-(BY44-BY41),BX46+BY41),BX46+BY41),IF(BY53="NO",BX46+BY41,BX46))</f>
        <v>118.8</v>
      </c>
      <c r="BZ46" s="25">
        <f t="shared" ref="BZ46" si="398">IF(BZ45&gt;0,IF(BZ50="NO",IF(BZ53="NO",BY46-(BZ44-BZ41),BY46+BZ41),BY46+BZ41),IF(BZ53="NO",BY46+BZ41,BY46))</f>
        <v>115.19999999999999</v>
      </c>
      <c r="CA46" s="25">
        <f t="shared" ref="CA46" si="399">IF(CA45&gt;0,IF(CA50="NO",IF(CA53="NO",BZ46-(CA44-CA41),BZ46+CA41),BZ46+CA41),IF(CA53="NO",BZ46+CA41,BZ46))</f>
        <v>111.59999999999998</v>
      </c>
      <c r="CB46" s="25">
        <f t="shared" ref="CB46" si="400">IF(CB45&gt;0,IF(CB50="NO",IF(CB53="NO",CA46-(CB44-CB41),CA46+CB41),CA46+CB41),IF(CB53="NO",CA46+CB41,CA46))</f>
        <v>107.99999999999997</v>
      </c>
      <c r="CC46" s="25">
        <f t="shared" ref="CC46" si="401">IF(CC45&gt;0,IF(CC50="NO",IF(CC53="NO",CB46-(CC44-CC41),CB46+CC41),CB46+CC41),IF(CC53="NO",CB46+CC41,CB46))</f>
        <v>104.39999999999996</v>
      </c>
      <c r="CD46" s="25">
        <f t="shared" ref="CD46" si="402">IF(CD45&gt;0,IF(CD50="NO",IF(CD53="NO",CC46-(CD44-CD41),CC46+CD41),CC46+CD41),IF(CD53="NO",CC46+CD41,CC46))</f>
        <v>100.79999999999995</v>
      </c>
      <c r="CE46" s="25">
        <f t="shared" ref="CE46" si="403">IF(CE45&gt;0,IF(CE50="NO",IF(CE53="NO",CD46-(CE44-CE41),CD46+CE41),CD46+CE41),IF(CE53="NO",CD46+CE41,CD46))</f>
        <v>97.199999999999946</v>
      </c>
      <c r="CF46" s="25">
        <f t="shared" ref="CF46" si="404">IF(CF45&gt;0,IF(CF50="NO",IF(CF53="NO",CE46-(CF44-CF41),CE46+CF41),CE46+CF41),IF(CF53="NO",CE46+CF41,CE46))</f>
        <v>93.599999999999937</v>
      </c>
      <c r="CG46" s="25">
        <f t="shared" ref="CG46" si="405">IF(CG45&gt;0,IF(CG50="NO",IF(CG53="NO",CF46-(CG44-CG41),CF46+CG41),CF46+CG41),IF(CG53="NO",CF46+CG41,CF46))</f>
        <v>89.999999999999929</v>
      </c>
      <c r="CH46" s="25">
        <f t="shared" ref="CH46" si="406">IF(CH45&gt;0,IF(CH50="NO",IF(CH53="NO",CG46-(CH44-CH41),CG46+CH41),CG46+CH41),IF(CH53="NO",CG46+CH41,CG46))</f>
        <v>86.39999999999992</v>
      </c>
      <c r="CI46" s="25">
        <f t="shared" ref="CI46" si="407">IF(CI45&gt;0,IF(CI50="NO",IF(CI53="NO",CH46-(CI44-CI41),CH46+CI41),CH46+CI41),IF(CI53="NO",CH46+CI41,CH46))</f>
        <v>82.799999999999912</v>
      </c>
      <c r="CJ46" s="25">
        <f t="shared" ref="CJ46" si="408">IF(CJ45&gt;0,IF(CJ50="NO",IF(CJ53="NO",CI46-(CJ44-CJ41),CI46+CJ41),CI46+CJ41),IF(CJ53="NO",CI46+CJ41,CI46))</f>
        <v>79.199999999999903</v>
      </c>
      <c r="CK46" s="25">
        <f t="shared" ref="CK46" si="409">IF(CK45&gt;0,IF(CK50="NO",IF(CK53="NO",CJ46-(CK44-CK41),CJ46+CK41),CJ46+CK41),IF(CK53="NO",CJ46+CK41,CJ46))</f>
        <v>107.9999999999999</v>
      </c>
      <c r="CL46" s="1" t="s">
        <v>72</v>
      </c>
      <c r="CM46" s="1" t="s">
        <v>14</v>
      </c>
      <c r="CN46" s="25">
        <f>CN41-CN44</f>
        <v>28.8</v>
      </c>
      <c r="CO46" s="25">
        <f t="shared" ref="CO46" si="410">IF(CO45&gt;0,IF(CO50="NO",IF(CO53="NO",CN46-CO45,CN46+CO41),CN46+CO41),IF(CO53="NO",CN46+CO41,CN46))</f>
        <v>57.6</v>
      </c>
      <c r="CP46" s="25">
        <f t="shared" ref="CP46" si="411">IF(CP45&gt;0,IF(CP50="NO",IF(CP53="NO",CO46-CP45,CO46+CP41),CO46+CP41),IF(CP53="NO",CO46+CP41,CO46))</f>
        <v>86.4</v>
      </c>
      <c r="CQ46" s="25">
        <f t="shared" ref="CQ46" si="412">IF(CQ45&gt;0,IF(CQ50="NO",IF(CQ53="NO",CP46-CQ45,CP46+CQ41),CP46+CQ41),IF(CQ53="NO",CP46+CQ41,CP46))</f>
        <v>115.2</v>
      </c>
      <c r="CR46" s="25">
        <f t="shared" ref="CR46" si="413">IF(CR45&gt;0,IF(CR50="NO",IF(CR53="NO",CQ46-CR45,CQ46+CR41),CQ46+CR41),IF(CR53="NO",CQ46+CR41,CQ46))</f>
        <v>111.6</v>
      </c>
      <c r="CS46" s="25">
        <f t="shared" ref="CS46" si="414">IF(CS45&gt;0,IF(CS50="NO",IF(CS53="NO",CR46-CS45,CR46+CS41),CR46+CS41),IF(CS53="NO",CR46+CS41,CR46))</f>
        <v>107.99999999999999</v>
      </c>
      <c r="CT46" s="25">
        <f t="shared" ref="CT46" si="415">IF(CT45&gt;0,IF(CT50="NO",IF(CT53="NO",CS46-CT45,CS46+CT41),CS46+CT41),IF(CT53="NO",CS46+CT41,CS46))</f>
        <v>104.39999999999998</v>
      </c>
      <c r="CU46" s="25">
        <f t="shared" ref="CU46" si="416">IF(CU45&gt;0,IF(CU50="NO",IF(CU53="NO",CT46-CU45,CT46+CU41),CT46+CU41),IF(CU53="NO",CT46+CU41,CT46))</f>
        <v>100.79999999999997</v>
      </c>
      <c r="CV46" s="25">
        <f>IF(CV45&gt;0,IF(CV50="NO",IF(CV53="NO",CU46-CV45,CU46+CV41),CU46+CV41),IF(CV53="NO",CU46+CV41,CU46))</f>
        <v>97.19999999999996</v>
      </c>
      <c r="CW46" s="25">
        <f t="shared" ref="CW46" si="417">IF(CW45&gt;0,IF(CW50="NO",IF(CW53="NO",CV46-(CW44-CW41),CV46+CW41),CV46+CW41),IF(CW53="NO",CV46+CW41,CV46))</f>
        <v>93.599999999999952</v>
      </c>
      <c r="CX46" s="25">
        <f t="shared" ref="CX46" si="418">IF(CX45&gt;0,IF(CX50="NO",IF(CX53="NO",CW46-(CX44-CX41),CW46+CX41),CW46+CX41),IF(CX53="NO",CW46+CX41,CW46))</f>
        <v>89.999999999999943</v>
      </c>
      <c r="CY46" s="25">
        <f t="shared" ref="CY46" si="419">IF(CY45&gt;0,IF(CY50="NO",IF(CY53="NO",CX46-(CY44-CY41),CX46+CY41),CX46+CY41),IF(CY53="NO",CX46+CY41,CX46))</f>
        <v>86.399999999999935</v>
      </c>
      <c r="CZ46" s="25">
        <f t="shared" ref="CZ46" si="420">IF(CZ45&gt;0,IF(CZ50="NO",IF(CZ53="NO",CY46-(CZ44-CZ41),CY46+CZ41),CY46+CZ41),IF(CZ53="NO",CY46+CZ41,CY46))</f>
        <v>82.799999999999926</v>
      </c>
      <c r="DA46" s="25">
        <f t="shared" ref="DA46" si="421">IF(DA45&gt;0,IF(DA50="NO",IF(DA53="NO",CZ46-(DA44-DA41),CZ46+DA41),CZ46+DA41),IF(DA53="NO",CZ46+DA41,CZ46))</f>
        <v>79.199999999999918</v>
      </c>
      <c r="DB46" s="25">
        <f t="shared" ref="DB46" si="422">IF(DB45&gt;0,IF(DB50="NO",IF(DB53="NO",DA46-(DB44-DB41),DA46+DB41),DA46+DB41),IF(DB53="NO",DA46+DB41,DA46))</f>
        <v>75.599999999999909</v>
      </c>
      <c r="DC46" s="25">
        <f t="shared" ref="DC46" si="423">IF(DC45&gt;0,IF(DC50="NO",IF(DC53="NO",DB46-(DC44-DC41),DB46+DC41),DB46+DC41),IF(DC53="NO",DB46+DC41,DB46))</f>
        <v>71.999999999999901</v>
      </c>
      <c r="DD46" s="25">
        <f t="shared" ref="DD46" si="424">IF(DD45&gt;0,IF(DD50="NO",IF(DD53="NO",DC46-(DD44-DD41),DC46+DD41),DC46+DD41),IF(DD53="NO",DC46+DD41,DC46))</f>
        <v>68.399999999999892</v>
      </c>
      <c r="DE46" s="25">
        <f t="shared" ref="DE46" si="425">IF(DE45&gt;0,IF(DE50="NO",IF(DE53="NO",DD46-(DE44-DE41),DD46+DE41),DD46+DE41),IF(DE53="NO",DD46+DE41,DD46))</f>
        <v>64.799999999999883</v>
      </c>
      <c r="DF46" s="25">
        <f t="shared" ref="DF46" si="426">IF(DF45&gt;0,IF(DF50="NO",IF(DF53="NO",DE46-(DF44-DF41),DE46+DF41),DE46+DF41),IF(DF53="NO",DE46+DF41,DE46))</f>
        <v>61.199999999999875</v>
      </c>
      <c r="DG46" s="25">
        <f t="shared" ref="DG46" si="427">IF(DG45&gt;0,IF(DG50="NO",IF(DG53="NO",DF46-(DG44-DG41),DF46+DG41),DF46+DG41),IF(DG53="NO",DF46+DG41,DF46))</f>
        <v>57.599999999999866</v>
      </c>
      <c r="DH46" s="25">
        <f t="shared" ref="DH46" si="428">IF(DH45&gt;0,IF(DH50="NO",IF(DH53="NO",DG46-(DH44-DH41),DG46+DH41),DG46+DH41),IF(DH53="NO",DG46+DH41,DG46))</f>
        <v>53.999999999999858</v>
      </c>
      <c r="DI46" s="25">
        <f t="shared" ref="DI46" si="429">IF(DI45&gt;0,IF(DI50="NO",IF(DI53="NO",DH46-(DI44-DI41),DH46+DI41),DH46+DI41),IF(DI53="NO",DH46+DI41,DH46))</f>
        <v>50.399999999999849</v>
      </c>
      <c r="DJ46" s="25">
        <f t="shared" ref="DJ46" si="430">IF(DJ45&gt;0,IF(DJ50="NO",IF(DJ53="NO",DI46-(DJ44-DJ41),DI46+DJ41),DI46+DJ41),IF(DJ53="NO",DI46+DJ41,DI46))</f>
        <v>46.799999999999841</v>
      </c>
      <c r="DK46" s="25">
        <f t="shared" ref="DK46" si="431">IF(DK45&gt;0,IF(DK50="NO",IF(DK53="NO",DJ46-(DK44-DK41),DJ46+DK41),DJ46+DK41),IF(DK53="NO",DJ46+DK41,DJ46))</f>
        <v>43.199999999999832</v>
      </c>
      <c r="DL46" s="1" t="s">
        <v>72</v>
      </c>
      <c r="DM46" s="1" t="s">
        <v>14</v>
      </c>
      <c r="DN46" s="25">
        <f>DN41-DN44</f>
        <v>28.8</v>
      </c>
      <c r="DO46" s="25">
        <f t="shared" ref="DO46" si="432">IF(DO45&gt;0,IF(DO50="NO",IF(DO53="NO",DN46-DO45,DN46+DO41),DN46+DO41),IF(DO53="NO",DN46+DO41,DN46))</f>
        <v>57.6</v>
      </c>
      <c r="DP46" s="25">
        <f t="shared" ref="DP46" si="433">IF(DP45&gt;0,IF(DP50="NO",IF(DP53="NO",DO46-DP45,DO46+DP41),DO46+DP41),IF(DP53="NO",DO46+DP41,DO46))</f>
        <v>86.4</v>
      </c>
      <c r="DQ46" s="25">
        <f t="shared" ref="DQ46" si="434">IF(DQ45&gt;0,IF(DQ50="NO",IF(DQ53="NO",DP46-DQ45,DP46+DQ41),DP46+DQ41),IF(DQ53="NO",DP46+DQ41,DP46))</f>
        <v>115.2</v>
      </c>
      <c r="DR46" s="25">
        <f t="shared" ref="DR46" si="435">IF(DR45&gt;0,IF(DR50="NO",IF(DR53="NO",DQ46-DR45,DQ46+DR41),DQ46+DR41),IF(DR53="NO",DQ46+DR41,DQ46))</f>
        <v>111.6</v>
      </c>
      <c r="DS46" s="25">
        <f t="shared" ref="DS46" si="436">IF(DS45&gt;0,IF(DS50="NO",IF(DS53="NO",DR46-DS45,DR46+DS41),DR46+DS41),IF(DS53="NO",DR46+DS41,DR46))</f>
        <v>107.99999999999999</v>
      </c>
      <c r="DT46" s="25">
        <f t="shared" ref="DT46" si="437">IF(DT45&gt;0,IF(DT50="NO",IF(DT53="NO",DS46-DT45,DS46+DT41),DS46+DT41),IF(DT53="NO",DS46+DT41,DS46))</f>
        <v>104.39999999999998</v>
      </c>
      <c r="DU46" s="25">
        <f t="shared" ref="DU46" si="438">IF(DU45&gt;0,IF(DU50="NO",IF(DU53="NO",DT46-DU45,DT46+DU41),DT46+DU41),IF(DU53="NO",DT46+DU41,DT46))</f>
        <v>100.79999999999997</v>
      </c>
      <c r="DV46" s="25">
        <f>IF(DV45&gt;0,IF(DV50="NO",IF(DV53="NO",DU46-DV45,DU46+DV41),DU46+DV41),IF(DV53="NO",DU46+DV41,DU46))</f>
        <v>97.19999999999996</v>
      </c>
      <c r="DW46" s="25">
        <f t="shared" ref="DW46" si="439">IF(DW45&gt;0,IF(DW50="NO",IF(DW53="NO",DV46-(DW44-DW41),DV46+DW41),DV46+DW41),IF(DW53="NO",DV46+DW41,DV46))</f>
        <v>93.599999999999952</v>
      </c>
      <c r="DX46" s="25">
        <f t="shared" ref="DX46" si="440">IF(DX45&gt;0,IF(DX50="NO",IF(DX53="NO",DW46-(DX44-DX41),DW46+DX41),DW46+DX41),IF(DX53="NO",DW46+DX41,DW46))</f>
        <v>89.999999999999943</v>
      </c>
      <c r="DY46" s="25">
        <f t="shared" ref="DY46" si="441">IF(DY45&gt;0,IF(DY50="NO",IF(DY53="NO",DX46-(DY44-DY41),DX46+DY41),DX46+DY41),IF(DY53="NO",DX46+DY41,DX46))</f>
        <v>86.399999999999935</v>
      </c>
      <c r="DZ46" s="25">
        <f t="shared" ref="DZ46" si="442">IF(DZ45&gt;0,IF(DZ50="NO",IF(DZ53="NO",DY46-(DZ44-DZ41),DY46+DZ41),DY46+DZ41),IF(DZ53="NO",DY46+DZ41,DY46))</f>
        <v>82.799999999999926</v>
      </c>
      <c r="EA46" s="25">
        <f t="shared" ref="EA46" si="443">IF(EA45&gt;0,IF(EA50="NO",IF(EA53="NO",DZ46-(EA44-EA41),DZ46+EA41),DZ46+EA41),IF(EA53="NO",DZ46+EA41,DZ46))</f>
        <v>79.199999999999918</v>
      </c>
      <c r="EB46" s="25">
        <f t="shared" ref="EB46" si="444">IF(EB45&gt;0,IF(EB50="NO",IF(EB53="NO",EA46-(EB44-EB41),EA46+EB41),EA46+EB41),IF(EB53="NO",EA46+EB41,EA46))</f>
        <v>75.599999999999909</v>
      </c>
      <c r="EC46" s="25">
        <f t="shared" ref="EC46" si="445">IF(EC45&gt;0,IF(EC50="NO",IF(EC53="NO",EB46-(EC44-EC41),EB46+EC41),EB46+EC41),IF(EC53="NO",EB46+EC41,EB46))</f>
        <v>71.999999999999901</v>
      </c>
      <c r="ED46" s="25">
        <f t="shared" ref="ED46" si="446">IF(ED45&gt;0,IF(ED50="NO",IF(ED53="NO",EC46-(ED44-ED41),EC46+ED41),EC46+ED41),IF(ED53="NO",EC46+ED41,EC46))</f>
        <v>68.399999999999892</v>
      </c>
      <c r="EE46" s="25">
        <f t="shared" ref="EE46" si="447">IF(EE45&gt;0,IF(EE50="NO",IF(EE53="NO",ED46-(EE44-EE41),ED46+EE41),ED46+EE41),IF(EE53="NO",ED46+EE41,ED46))</f>
        <v>64.799999999999883</v>
      </c>
      <c r="EF46" s="25">
        <f t="shared" ref="EF46" si="448">IF(EF45&gt;0,IF(EF50="NO",IF(EF53="NO",EE46-(EF44-EF41),EE46+EF41),EE46+EF41),IF(EF53="NO",EE46+EF41,EE46))</f>
        <v>61.199999999999875</v>
      </c>
      <c r="EG46" s="25">
        <f t="shared" ref="EG46" si="449">IF(EG45&gt;0,IF(EG50="NO",IF(EG53="NO",EF46-(EG44-EG41),EF46+EG41),EF46+EG41),IF(EG53="NO",EF46+EG41,EF46))</f>
        <v>57.599999999999866</v>
      </c>
      <c r="EH46" s="25">
        <f t="shared" ref="EH46" si="450">IF(EH45&gt;0,IF(EH50="NO",IF(EH53="NO",EG46-(EH44-EH41),EG46+EH41),EG46+EH41),IF(EH53="NO",EG46+EH41,EG46))</f>
        <v>53.999999999999858</v>
      </c>
      <c r="EI46" s="25">
        <f t="shared" ref="EI46" si="451">IF(EI45&gt;0,IF(EI50="NO",IF(EI53="NO",EH46-(EI44-EI41),EH46+EI41),EH46+EI41),IF(EI53="NO",EH46+EI41,EH46))</f>
        <v>50.399999999999849</v>
      </c>
      <c r="EJ46" s="25">
        <f t="shared" ref="EJ46" si="452">IF(EJ45&gt;0,IF(EJ50="NO",IF(EJ53="NO",EI46-(EJ44-EJ41),EI46+EJ41),EI46+EJ41),IF(EJ53="NO",EI46+EJ41,EI46))</f>
        <v>46.799999999999841</v>
      </c>
      <c r="EK46" s="25">
        <f t="shared" ref="EK46" si="453">IF(EK45&gt;0,IF(EK50="NO",IF(EK53="NO",EJ46-(EK44-EK41),EJ46+EK41),EJ46+EK41),IF(EK53="NO",EJ46+EK41,EJ46))</f>
        <v>43.199999999999832</v>
      </c>
      <c r="EL46" s="1" t="s">
        <v>72</v>
      </c>
      <c r="EM46" s="1" t="s">
        <v>14</v>
      </c>
      <c r="EN46" s="25">
        <f>EN41-EN44</f>
        <v>28.8</v>
      </c>
      <c r="EO46" s="25">
        <f t="shared" ref="EO46:EU46" si="454">IF(EO45&gt;0,IF(EO50="NO",IF(EO53="NO",EN46-EO45,EN46+EO41),EN46+EO41),IF(EO53="NO",EN46+EO41,EN46))</f>
        <v>57.6</v>
      </c>
      <c r="EP46" s="25">
        <f t="shared" si="454"/>
        <v>54</v>
      </c>
      <c r="EQ46" s="25">
        <f t="shared" si="454"/>
        <v>50.399999999999991</v>
      </c>
      <c r="ER46" s="25">
        <f t="shared" si="454"/>
        <v>46.799999999999983</v>
      </c>
      <c r="ES46" s="25">
        <f t="shared" si="454"/>
        <v>43.199999999999974</v>
      </c>
      <c r="ET46" s="25">
        <f t="shared" si="454"/>
        <v>39.599999999999966</v>
      </c>
      <c r="EU46" s="25">
        <f t="shared" si="454"/>
        <v>35.999999999999957</v>
      </c>
      <c r="EV46" s="25">
        <f>IF(EV45&gt;0,IF(EV50="NO",IF(EV53="NO",EU46-EV45,EU46+EV41),EU46+EV41),IF(EV53="NO",EU46+EV41,EU46))</f>
        <v>64.799999999999955</v>
      </c>
      <c r="EW46" s="25">
        <f t="shared" ref="EW46" si="455">IF(EW45&gt;0,IF(EW50="NO",IF(EW53="NO",EV46-(EW44-EW41),EV46+EW41),EV46+EW41),IF(EW53="NO",EV46+EW41,EV46))</f>
        <v>61.199999999999946</v>
      </c>
      <c r="EX46" s="25">
        <f t="shared" ref="EX46" si="456">IF(EX45&gt;0,IF(EX50="NO",IF(EX53="NO",EW46-(EX44-EX41),EW46+EX41),EW46+EX41),IF(EX53="NO",EW46+EX41,EW46))</f>
        <v>57.599999999999937</v>
      </c>
      <c r="EY46" s="25">
        <f t="shared" ref="EY46" si="457">IF(EY45&gt;0,IF(EY50="NO",IF(EY53="NO",EX46-(EY44-EY41),EX46+EY41),EX46+EY41),IF(EY53="NO",EX46+EY41,EX46))</f>
        <v>53.999999999999929</v>
      </c>
      <c r="EZ46" s="25">
        <f t="shared" ref="EZ46" si="458">IF(EZ45&gt;0,IF(EZ50="NO",IF(EZ53="NO",EY46-(EZ44-EZ41),EY46+EZ41),EY46+EZ41),IF(EZ53="NO",EY46+EZ41,EY46))</f>
        <v>50.39999999999992</v>
      </c>
      <c r="FA46" s="25">
        <f t="shared" ref="FA46" si="459">IF(FA45&gt;0,IF(FA50="NO",IF(FA53="NO",EZ46-(FA44-FA41),EZ46+FA41),EZ46+FA41),IF(FA53="NO",EZ46+FA41,EZ46))</f>
        <v>46.799999999999912</v>
      </c>
      <c r="FB46" s="25">
        <f t="shared" ref="FB46" si="460">IF(FB45&gt;0,IF(FB50="NO",IF(FB53="NO",FA46-(FB44-FB41),FA46+FB41),FA46+FB41),IF(FB53="NO",FA46+FB41,FA46))</f>
        <v>43.199999999999903</v>
      </c>
      <c r="FC46" s="25">
        <f t="shared" ref="FC46" si="461">IF(FC45&gt;0,IF(FC50="NO",IF(FC53="NO",FB46-(FC44-FC41),FB46+FC41),FB46+FC41),IF(FC53="NO",FB46+FC41,FB46))</f>
        <v>39.599999999999895</v>
      </c>
      <c r="FD46" s="25">
        <f t="shared" ref="FD46" si="462">IF(FD45&gt;0,IF(FD50="NO",IF(FD53="NO",FC46-(FD44-FD41),FC46+FD41),FC46+FD41),IF(FD53="NO",FC46+FD41,FC46))</f>
        <v>35.999999999999886</v>
      </c>
      <c r="FE46" s="25">
        <f t="shared" ref="FE46" si="463">IF(FE45&gt;0,IF(FE50="NO",IF(FE53="NO",FD46-(FE44-FE41),FD46+FE41),FD46+FE41),IF(FE53="NO",FD46+FE41,FD46))</f>
        <v>64.799999999999883</v>
      </c>
      <c r="FF46" s="25">
        <f t="shared" ref="FF46" si="464">IF(FF45&gt;0,IF(FF50="NO",IF(FF53="NO",FE46-(FF44-FF41),FE46+FF41),FE46+FF41),IF(FF53="NO",FE46+FF41,FE46))</f>
        <v>61.199999999999875</v>
      </c>
      <c r="FG46" s="25">
        <f t="shared" ref="FG46" si="465">IF(FG45&gt;0,IF(FG50="NO",IF(FG53="NO",FF46-(FG44-FG41),FF46+FG41),FF46+FG41),IF(FG53="NO",FF46+FG41,FF46))</f>
        <v>57.599999999999866</v>
      </c>
      <c r="FH46" s="25">
        <f t="shared" ref="FH46" si="466">IF(FH45&gt;0,IF(FH50="NO",IF(FH53="NO",FG46-(FH44-FH41),FG46+FH41),FG46+FH41),IF(FH53="NO",FG46+FH41,FG46))</f>
        <v>53.999999999999858</v>
      </c>
      <c r="FI46" s="25">
        <f t="shared" ref="FI46" si="467">IF(FI45&gt;0,IF(FI50="NO",IF(FI53="NO",FH46-(FI44-FI41),FH46+FI41),FH46+FI41),IF(FI53="NO",FH46+FI41,FH46))</f>
        <v>50.399999999999849</v>
      </c>
      <c r="FJ46" s="25">
        <f t="shared" ref="FJ46" si="468">IF(FJ45&gt;0,IF(FJ50="NO",IF(FJ53="NO",FI46-(FJ44-FJ41),FI46+FJ41),FI46+FJ41),IF(FJ53="NO",FI46+FJ41,FI46))</f>
        <v>46.799999999999841</v>
      </c>
      <c r="FK46" s="25">
        <f t="shared" ref="FK46" si="469">IF(FK45&gt;0,IF(FK50="NO",IF(FK53="NO",FJ46-(FK44-FK41),FJ46+FK41),FJ46+FK41),IF(FK53="NO",FJ46+FK41,FJ46))</f>
        <v>43.199999999999832</v>
      </c>
    </row>
    <row r="47" spans="2:167" x14ac:dyDescent="0.25">
      <c r="B47" s="37" t="s">
        <v>35</v>
      </c>
      <c r="D47" s="1" t="s">
        <v>6</v>
      </c>
      <c r="E47" s="15">
        <f>E46-E45</f>
        <v>0.60000000000000009</v>
      </c>
      <c r="G47" s="1" t="s">
        <v>34</v>
      </c>
      <c r="I47" s="1" t="s">
        <v>20</v>
      </c>
      <c r="J47" s="13">
        <f>J45/J44*1000</f>
        <v>67.5</v>
      </c>
      <c r="L47" s="19" t="s">
        <v>71</v>
      </c>
      <c r="M47" s="19" t="s">
        <v>6</v>
      </c>
      <c r="N47" s="47">
        <f t="shared" ref="N47:AK47" si="470">N46/$E23</f>
        <v>8.1355932203389839E-2</v>
      </c>
      <c r="O47" s="47">
        <f t="shared" si="470"/>
        <v>0.16271186440677968</v>
      </c>
      <c r="P47" s="47">
        <f t="shared" si="470"/>
        <v>0.2440677966101695</v>
      </c>
      <c r="Q47" s="47">
        <f t="shared" si="470"/>
        <v>0.32542372881355935</v>
      </c>
      <c r="R47" s="47">
        <f t="shared" si="470"/>
        <v>0.40677966101694918</v>
      </c>
      <c r="S47" s="47">
        <f t="shared" si="470"/>
        <v>0.39661016949152544</v>
      </c>
      <c r="T47" s="47">
        <f t="shared" si="470"/>
        <v>0.38644067796610171</v>
      </c>
      <c r="U47" s="47">
        <f t="shared" si="470"/>
        <v>0.37627118644067803</v>
      </c>
      <c r="V47" s="47">
        <f t="shared" si="470"/>
        <v>0.36610169491525429</v>
      </c>
      <c r="W47" s="47">
        <f t="shared" si="470"/>
        <v>0.35593220338983056</v>
      </c>
      <c r="X47" s="47">
        <f t="shared" si="470"/>
        <v>0.34576271186440677</v>
      </c>
      <c r="Y47" s="47">
        <f t="shared" si="470"/>
        <v>0.33559322033898303</v>
      </c>
      <c r="Z47" s="47">
        <f t="shared" si="470"/>
        <v>0.3254237288135593</v>
      </c>
      <c r="AA47" s="47">
        <f t="shared" si="470"/>
        <v>0.31525423728813556</v>
      </c>
      <c r="AB47" s="47">
        <f t="shared" si="470"/>
        <v>0.30508474576271177</v>
      </c>
      <c r="AC47" s="47">
        <f t="shared" si="470"/>
        <v>0.29491525423728804</v>
      </c>
      <c r="AD47" s="47">
        <f t="shared" si="470"/>
        <v>0.2847457627118643</v>
      </c>
      <c r="AE47" s="47">
        <f t="shared" si="470"/>
        <v>0.27457627118644051</v>
      </c>
      <c r="AF47" s="47">
        <f t="shared" si="470"/>
        <v>0.26440677966101678</v>
      </c>
      <c r="AG47" s="47">
        <f t="shared" si="470"/>
        <v>0.25423728813559304</v>
      </c>
      <c r="AH47" s="47">
        <f t="shared" si="470"/>
        <v>0.24406779661016928</v>
      </c>
      <c r="AI47" s="47">
        <f t="shared" si="470"/>
        <v>0.23389830508474552</v>
      </c>
      <c r="AJ47" s="47">
        <f t="shared" si="470"/>
        <v>0.31525423728813534</v>
      </c>
      <c r="AK47" s="47">
        <f t="shared" si="470"/>
        <v>0.39661016949152522</v>
      </c>
      <c r="AL47" s="19" t="s">
        <v>71</v>
      </c>
      <c r="AM47" s="19" t="s">
        <v>6</v>
      </c>
      <c r="AN47" s="47">
        <f t="shared" ref="AN47:BK47" si="471">AN46/$E23</f>
        <v>8.1355932203389839E-2</v>
      </c>
      <c r="AO47" s="47">
        <f t="shared" si="471"/>
        <v>0.16271186440677968</v>
      </c>
      <c r="AP47" s="47">
        <f t="shared" si="471"/>
        <v>0.2440677966101695</v>
      </c>
      <c r="AQ47" s="47">
        <f t="shared" si="471"/>
        <v>0.32542372881355935</v>
      </c>
      <c r="AR47" s="47">
        <f t="shared" si="471"/>
        <v>0.40677966101694918</v>
      </c>
      <c r="AS47" s="47">
        <f t="shared" si="471"/>
        <v>0.39661016949152544</v>
      </c>
      <c r="AT47" s="47">
        <f t="shared" si="471"/>
        <v>0.38644067796610171</v>
      </c>
      <c r="AU47" s="47">
        <f t="shared" si="471"/>
        <v>0.37627118644067803</v>
      </c>
      <c r="AV47" s="47">
        <f t="shared" si="471"/>
        <v>0.36610169491525429</v>
      </c>
      <c r="AW47" s="47">
        <f t="shared" si="471"/>
        <v>0.35593220338983056</v>
      </c>
      <c r="AX47" s="47">
        <f t="shared" si="471"/>
        <v>0.34576271186440677</v>
      </c>
      <c r="AY47" s="47">
        <f t="shared" si="471"/>
        <v>0.33559322033898303</v>
      </c>
      <c r="AZ47" s="47">
        <f t="shared" si="471"/>
        <v>0.3254237288135593</v>
      </c>
      <c r="BA47" s="47">
        <f t="shared" si="471"/>
        <v>0.31525423728813556</v>
      </c>
      <c r="BB47" s="47">
        <f t="shared" si="471"/>
        <v>0.30508474576271177</v>
      </c>
      <c r="BC47" s="47">
        <f t="shared" si="471"/>
        <v>0.29491525423728804</v>
      </c>
      <c r="BD47" s="47">
        <f t="shared" si="471"/>
        <v>0.2847457627118643</v>
      </c>
      <c r="BE47" s="47">
        <f t="shared" si="471"/>
        <v>0.27457627118644051</v>
      </c>
      <c r="BF47" s="47">
        <f t="shared" si="471"/>
        <v>0.26440677966101678</v>
      </c>
      <c r="BG47" s="47">
        <f t="shared" si="471"/>
        <v>0.25423728813559304</v>
      </c>
      <c r="BH47" s="47">
        <f t="shared" si="471"/>
        <v>0.24406779661016928</v>
      </c>
      <c r="BI47" s="47">
        <f t="shared" si="471"/>
        <v>0.23389830508474552</v>
      </c>
      <c r="BJ47" s="47">
        <f t="shared" si="471"/>
        <v>0.22372881355932175</v>
      </c>
      <c r="BK47" s="47">
        <f t="shared" si="471"/>
        <v>0.21355932203389802</v>
      </c>
      <c r="BL47" s="19" t="s">
        <v>71</v>
      </c>
      <c r="BM47" s="19" t="s">
        <v>6</v>
      </c>
      <c r="BN47" s="47">
        <f t="shared" ref="BN47:CK47" si="472">BN46/$E23</f>
        <v>8.1355932203389839E-2</v>
      </c>
      <c r="BO47" s="47">
        <f t="shared" si="472"/>
        <v>0.16271186440677968</v>
      </c>
      <c r="BP47" s="47">
        <f t="shared" si="472"/>
        <v>0.2440677966101695</v>
      </c>
      <c r="BQ47" s="47">
        <f t="shared" si="472"/>
        <v>0.32542372881355935</v>
      </c>
      <c r="BR47" s="47">
        <f t="shared" si="472"/>
        <v>0.40677966101694918</v>
      </c>
      <c r="BS47" s="47">
        <f t="shared" si="472"/>
        <v>0.39661016949152544</v>
      </c>
      <c r="BT47" s="47">
        <f t="shared" si="472"/>
        <v>0.38644067796610171</v>
      </c>
      <c r="BU47" s="47">
        <f t="shared" si="472"/>
        <v>0.37627118644067803</v>
      </c>
      <c r="BV47" s="47">
        <f t="shared" si="472"/>
        <v>0.36610169491525429</v>
      </c>
      <c r="BW47" s="47">
        <f t="shared" si="472"/>
        <v>0.35593220338983056</v>
      </c>
      <c r="BX47" s="47">
        <f t="shared" si="472"/>
        <v>0.34576271186440677</v>
      </c>
      <c r="BY47" s="47">
        <f t="shared" si="472"/>
        <v>0.33559322033898303</v>
      </c>
      <c r="BZ47" s="47">
        <f t="shared" si="472"/>
        <v>0.3254237288135593</v>
      </c>
      <c r="CA47" s="47">
        <f t="shared" si="472"/>
        <v>0.31525423728813556</v>
      </c>
      <c r="CB47" s="47">
        <f t="shared" si="472"/>
        <v>0.30508474576271177</v>
      </c>
      <c r="CC47" s="47">
        <f t="shared" si="472"/>
        <v>0.29491525423728804</v>
      </c>
      <c r="CD47" s="47">
        <f t="shared" si="472"/>
        <v>0.2847457627118643</v>
      </c>
      <c r="CE47" s="47">
        <f t="shared" si="472"/>
        <v>0.27457627118644051</v>
      </c>
      <c r="CF47" s="47">
        <f t="shared" si="472"/>
        <v>0.26440677966101678</v>
      </c>
      <c r="CG47" s="47">
        <f t="shared" si="472"/>
        <v>0.25423728813559304</v>
      </c>
      <c r="CH47" s="47">
        <f t="shared" si="472"/>
        <v>0.24406779661016928</v>
      </c>
      <c r="CI47" s="47">
        <f t="shared" si="472"/>
        <v>0.23389830508474552</v>
      </c>
      <c r="CJ47" s="47">
        <f t="shared" si="472"/>
        <v>0.22372881355932175</v>
      </c>
      <c r="CK47" s="47">
        <f t="shared" si="472"/>
        <v>0.30508474576271161</v>
      </c>
      <c r="CL47" s="19" t="s">
        <v>71</v>
      </c>
      <c r="CM47" s="19" t="s">
        <v>6</v>
      </c>
      <c r="CN47" s="47">
        <f t="shared" ref="CN47:DK47" si="473">CN46/$E23</f>
        <v>8.1355932203389839E-2</v>
      </c>
      <c r="CO47" s="47">
        <f t="shared" si="473"/>
        <v>0.16271186440677968</v>
      </c>
      <c r="CP47" s="47">
        <f t="shared" si="473"/>
        <v>0.2440677966101695</v>
      </c>
      <c r="CQ47" s="47">
        <f t="shared" si="473"/>
        <v>0.32542372881355935</v>
      </c>
      <c r="CR47" s="47">
        <f t="shared" si="473"/>
        <v>0.31525423728813556</v>
      </c>
      <c r="CS47" s="47">
        <f t="shared" si="473"/>
        <v>0.30508474576271183</v>
      </c>
      <c r="CT47" s="47">
        <f t="shared" si="473"/>
        <v>0.29491525423728809</v>
      </c>
      <c r="CU47" s="47">
        <f t="shared" si="473"/>
        <v>0.2847457627118643</v>
      </c>
      <c r="CV47" s="47">
        <f t="shared" si="473"/>
        <v>0.27457627118644057</v>
      </c>
      <c r="CW47" s="47">
        <f t="shared" si="473"/>
        <v>0.26440677966101683</v>
      </c>
      <c r="CX47" s="47">
        <f t="shared" si="473"/>
        <v>0.25423728813559304</v>
      </c>
      <c r="CY47" s="47">
        <f t="shared" si="473"/>
        <v>0.24406779661016931</v>
      </c>
      <c r="CZ47" s="47">
        <f t="shared" si="473"/>
        <v>0.23389830508474554</v>
      </c>
      <c r="DA47" s="47">
        <f t="shared" si="473"/>
        <v>0.22372881355932181</v>
      </c>
      <c r="DB47" s="47">
        <f t="shared" si="473"/>
        <v>0.21355932203389805</v>
      </c>
      <c r="DC47" s="47">
        <f t="shared" si="473"/>
        <v>0.20338983050847428</v>
      </c>
      <c r="DD47" s="47">
        <f t="shared" si="473"/>
        <v>0.19322033898305055</v>
      </c>
      <c r="DE47" s="47">
        <f t="shared" si="473"/>
        <v>0.18305084745762679</v>
      </c>
      <c r="DF47" s="47">
        <f t="shared" si="473"/>
        <v>0.17288135593220302</v>
      </c>
      <c r="DG47" s="47">
        <f t="shared" si="473"/>
        <v>0.16271186440677929</v>
      </c>
      <c r="DH47" s="47">
        <f t="shared" si="473"/>
        <v>0.15254237288135553</v>
      </c>
      <c r="DI47" s="47">
        <f t="shared" si="473"/>
        <v>0.14237288135593179</v>
      </c>
      <c r="DJ47" s="47">
        <f t="shared" si="473"/>
        <v>0.13220338983050803</v>
      </c>
      <c r="DK47" s="47">
        <f t="shared" si="473"/>
        <v>0.12203389830508427</v>
      </c>
      <c r="DL47" s="19" t="s">
        <v>71</v>
      </c>
      <c r="DM47" s="19" t="s">
        <v>6</v>
      </c>
      <c r="DN47" s="47">
        <f t="shared" ref="DN47:EK47" si="474">DN46/$E23</f>
        <v>8.1355932203389839E-2</v>
      </c>
      <c r="DO47" s="47">
        <f t="shared" si="474"/>
        <v>0.16271186440677968</v>
      </c>
      <c r="DP47" s="47">
        <f t="shared" si="474"/>
        <v>0.2440677966101695</v>
      </c>
      <c r="DQ47" s="47">
        <f t="shared" si="474"/>
        <v>0.32542372881355935</v>
      </c>
      <c r="DR47" s="47">
        <f t="shared" si="474"/>
        <v>0.31525423728813556</v>
      </c>
      <c r="DS47" s="47">
        <f t="shared" si="474"/>
        <v>0.30508474576271183</v>
      </c>
      <c r="DT47" s="47">
        <f t="shared" si="474"/>
        <v>0.29491525423728809</v>
      </c>
      <c r="DU47" s="47">
        <f t="shared" si="474"/>
        <v>0.2847457627118643</v>
      </c>
      <c r="DV47" s="47">
        <f t="shared" si="474"/>
        <v>0.27457627118644057</v>
      </c>
      <c r="DW47" s="47">
        <f t="shared" si="474"/>
        <v>0.26440677966101683</v>
      </c>
      <c r="DX47" s="47">
        <f t="shared" si="474"/>
        <v>0.25423728813559304</v>
      </c>
      <c r="DY47" s="47">
        <f t="shared" si="474"/>
        <v>0.24406779661016931</v>
      </c>
      <c r="DZ47" s="47">
        <f t="shared" si="474"/>
        <v>0.23389830508474554</v>
      </c>
      <c r="EA47" s="47">
        <f t="shared" si="474"/>
        <v>0.22372881355932181</v>
      </c>
      <c r="EB47" s="47">
        <f t="shared" si="474"/>
        <v>0.21355932203389805</v>
      </c>
      <c r="EC47" s="47">
        <f t="shared" si="474"/>
        <v>0.20338983050847428</v>
      </c>
      <c r="ED47" s="47">
        <f t="shared" si="474"/>
        <v>0.19322033898305055</v>
      </c>
      <c r="EE47" s="47">
        <f t="shared" si="474"/>
        <v>0.18305084745762679</v>
      </c>
      <c r="EF47" s="47">
        <f t="shared" si="474"/>
        <v>0.17288135593220302</v>
      </c>
      <c r="EG47" s="47">
        <f t="shared" si="474"/>
        <v>0.16271186440677929</v>
      </c>
      <c r="EH47" s="47">
        <f t="shared" si="474"/>
        <v>0.15254237288135553</v>
      </c>
      <c r="EI47" s="47">
        <f t="shared" si="474"/>
        <v>0.14237288135593179</v>
      </c>
      <c r="EJ47" s="47">
        <f t="shared" si="474"/>
        <v>0.13220338983050803</v>
      </c>
      <c r="EK47" s="47">
        <f t="shared" si="474"/>
        <v>0.12203389830508427</v>
      </c>
      <c r="EL47" s="19" t="s">
        <v>71</v>
      </c>
      <c r="EM47" s="19" t="s">
        <v>6</v>
      </c>
      <c r="EN47" s="47">
        <f t="shared" ref="EN47:FK47" si="475">EN46/$E23</f>
        <v>8.1355932203389839E-2</v>
      </c>
      <c r="EO47" s="47">
        <f t="shared" si="475"/>
        <v>0.16271186440677968</v>
      </c>
      <c r="EP47" s="47">
        <f t="shared" si="475"/>
        <v>0.15254237288135594</v>
      </c>
      <c r="EQ47" s="47">
        <f t="shared" si="475"/>
        <v>0.14237288135593218</v>
      </c>
      <c r="ER47" s="47">
        <f t="shared" si="475"/>
        <v>0.13220338983050842</v>
      </c>
      <c r="ES47" s="47">
        <f t="shared" si="475"/>
        <v>0.12203389830508467</v>
      </c>
      <c r="ET47" s="47">
        <f t="shared" si="475"/>
        <v>0.11186440677966092</v>
      </c>
      <c r="EU47" s="47">
        <f t="shared" si="475"/>
        <v>0.10169491525423717</v>
      </c>
      <c r="EV47" s="47">
        <f t="shared" si="475"/>
        <v>0.18305084745762698</v>
      </c>
      <c r="EW47" s="47">
        <f t="shared" si="475"/>
        <v>0.17288135593220325</v>
      </c>
      <c r="EX47" s="47">
        <f t="shared" si="475"/>
        <v>0.16271186440677948</v>
      </c>
      <c r="EY47" s="47">
        <f t="shared" si="475"/>
        <v>0.15254237288135572</v>
      </c>
      <c r="EZ47" s="47">
        <f t="shared" si="475"/>
        <v>0.14237288135593199</v>
      </c>
      <c r="FA47" s="47">
        <f t="shared" si="475"/>
        <v>0.13220338983050822</v>
      </c>
      <c r="FB47" s="47">
        <f t="shared" si="475"/>
        <v>0.12203389830508447</v>
      </c>
      <c r="FC47" s="47">
        <f t="shared" si="475"/>
        <v>0.11186440677966072</v>
      </c>
      <c r="FD47" s="47">
        <f t="shared" si="475"/>
        <v>0.10169491525423696</v>
      </c>
      <c r="FE47" s="47">
        <f t="shared" si="475"/>
        <v>0.18305084745762679</v>
      </c>
      <c r="FF47" s="47">
        <f t="shared" si="475"/>
        <v>0.17288135593220302</v>
      </c>
      <c r="FG47" s="47">
        <f t="shared" si="475"/>
        <v>0.16271186440677929</v>
      </c>
      <c r="FH47" s="47">
        <f t="shared" si="475"/>
        <v>0.15254237288135553</v>
      </c>
      <c r="FI47" s="47">
        <f t="shared" si="475"/>
        <v>0.14237288135593179</v>
      </c>
      <c r="FJ47" s="47">
        <f t="shared" si="475"/>
        <v>0.13220338983050803</v>
      </c>
      <c r="FK47" s="47">
        <f t="shared" si="475"/>
        <v>0.12203389830508427</v>
      </c>
    </row>
    <row r="48" spans="2:167" x14ac:dyDescent="0.25">
      <c r="B48" s="37"/>
      <c r="E48" s="87"/>
      <c r="J48" s="38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1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1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1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1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1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</row>
    <row r="49" spans="2:167" x14ac:dyDescent="0.25">
      <c r="B49" s="37" t="s">
        <v>141</v>
      </c>
      <c r="D49" s="1" t="s">
        <v>44</v>
      </c>
      <c r="E49" s="13">
        <f>COUNTIF(V50:AI50,"YES")</f>
        <v>0</v>
      </c>
      <c r="J49" s="38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1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1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1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1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1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</row>
    <row r="50" spans="2:167" x14ac:dyDescent="0.25">
      <c r="B50" s="37" t="s">
        <v>142</v>
      </c>
      <c r="D50" s="1" t="s">
        <v>27</v>
      </c>
      <c r="E50" s="13">
        <f>COUNTIF(N51:AK51,"Discharge")</f>
        <v>17</v>
      </c>
      <c r="J50" s="38"/>
      <c r="L50" s="1" t="s">
        <v>186</v>
      </c>
      <c r="N50" s="90"/>
      <c r="O50" s="90" t="str">
        <f t="shared" ref="O50" si="476">IF(O45&gt;N46,"YES", "NO")</f>
        <v>NO</v>
      </c>
      <c r="P50" s="90" t="str">
        <f t="shared" ref="P50" si="477">IF(P45&gt;O46,"YES", "NO")</f>
        <v>NO</v>
      </c>
      <c r="Q50" s="90" t="str">
        <f t="shared" ref="Q50" si="478">IF(Q45&gt;P46,"YES", "NO")</f>
        <v>NO</v>
      </c>
      <c r="R50" s="90" t="str">
        <f t="shared" ref="R50" si="479">IF(R45&gt;Q46,"YES", "NO")</f>
        <v>NO</v>
      </c>
      <c r="S50" s="90" t="str">
        <f t="shared" ref="S50" si="480">IF(S45&gt;R46,"YES", "NO")</f>
        <v>NO</v>
      </c>
      <c r="T50" s="90" t="str">
        <f t="shared" ref="T50" si="481">IF(T45&gt;S46,"YES", "NO")</f>
        <v>NO</v>
      </c>
      <c r="U50" s="90" t="str">
        <f t="shared" ref="U50" si="482">IF(U45&gt;T46,"YES", "NO")</f>
        <v>NO</v>
      </c>
      <c r="V50" s="90" t="str">
        <f>IF(V45&gt;U46,"YES", "NO")</f>
        <v>NO</v>
      </c>
      <c r="W50" s="90" t="str">
        <f t="shared" ref="W50" si="483">IF(W45&gt;V46,"YES", "NO")</f>
        <v>NO</v>
      </c>
      <c r="X50" s="90" t="str">
        <f t="shared" ref="X50" si="484">IF(X45&gt;W46,"YES", "NO")</f>
        <v>NO</v>
      </c>
      <c r="Y50" s="90" t="str">
        <f t="shared" ref="Y50" si="485">IF(Y45&gt;X46,"YES", "NO")</f>
        <v>NO</v>
      </c>
      <c r="Z50" s="90" t="str">
        <f t="shared" ref="Z50" si="486">IF(Z45&gt;Y46,"YES", "NO")</f>
        <v>NO</v>
      </c>
      <c r="AA50" s="90" t="str">
        <f t="shared" ref="AA50" si="487">IF(AA45&gt;Z46,"YES", "NO")</f>
        <v>NO</v>
      </c>
      <c r="AB50" s="90" t="str">
        <f t="shared" ref="AB50" si="488">IF(AB45&gt;AA46,"YES", "NO")</f>
        <v>NO</v>
      </c>
      <c r="AC50" s="90" t="str">
        <f t="shared" ref="AC50" si="489">IF(AC45&gt;AB46,"YES", "NO")</f>
        <v>NO</v>
      </c>
      <c r="AD50" s="90" t="str">
        <f t="shared" ref="AD50" si="490">IF(AD45&gt;AC46,"YES", "NO")</f>
        <v>NO</v>
      </c>
      <c r="AE50" s="90" t="str">
        <f t="shared" ref="AE50" si="491">IF(AE45&gt;AD46,"YES", "NO")</f>
        <v>NO</v>
      </c>
      <c r="AF50" s="90" t="str">
        <f t="shared" ref="AF50" si="492">IF(AF45&gt;AE46,"YES", "NO")</f>
        <v>NO</v>
      </c>
      <c r="AG50" s="90" t="str">
        <f t="shared" ref="AG50" si="493">IF(AG45&gt;AF46,"YES", "NO")</f>
        <v>NO</v>
      </c>
      <c r="AH50" s="90" t="str">
        <f t="shared" ref="AH50" si="494">IF(AH45&gt;AG46,"YES", "NO")</f>
        <v>NO</v>
      </c>
      <c r="AI50" s="90" t="str">
        <f t="shared" ref="AI50" si="495">IF(AI45&gt;AH46,"YES", "NO")</f>
        <v>NO</v>
      </c>
      <c r="AJ50" s="90" t="str">
        <f t="shared" ref="AJ50" si="496">IF(AJ45&gt;AI46,"YES", "NO")</f>
        <v>NO</v>
      </c>
      <c r="AK50" s="90" t="str">
        <f t="shared" ref="AK50" si="497">IF(AK45&gt;AJ46,"YES", "NO")</f>
        <v>NO</v>
      </c>
      <c r="AL50" s="1" t="s">
        <v>186</v>
      </c>
      <c r="AN50" s="90"/>
      <c r="AO50" s="90" t="str">
        <f t="shared" ref="AO50" si="498">IF(AO45&gt;AN46,"YES", "NO")</f>
        <v>NO</v>
      </c>
      <c r="AP50" s="90" t="str">
        <f t="shared" ref="AP50" si="499">IF(AP45&gt;AO46,"YES", "NO")</f>
        <v>NO</v>
      </c>
      <c r="AQ50" s="90" t="str">
        <f t="shared" ref="AQ50" si="500">IF(AQ45&gt;AP46,"YES", "NO")</f>
        <v>NO</v>
      </c>
      <c r="AR50" s="90" t="str">
        <f t="shared" ref="AR50" si="501">IF(AR45&gt;AQ46,"YES", "NO")</f>
        <v>NO</v>
      </c>
      <c r="AS50" s="90" t="str">
        <f t="shared" ref="AS50" si="502">IF(AS45&gt;AR46,"YES", "NO")</f>
        <v>NO</v>
      </c>
      <c r="AT50" s="90" t="str">
        <f t="shared" ref="AT50" si="503">IF(AT45&gt;AS46,"YES", "NO")</f>
        <v>NO</v>
      </c>
      <c r="AU50" s="90" t="str">
        <f t="shared" ref="AU50" si="504">IF(AU45&gt;AT46,"YES", "NO")</f>
        <v>NO</v>
      </c>
      <c r="AV50" s="90" t="str">
        <f>IF(AV45&gt;AU46,"YES", "NO")</f>
        <v>NO</v>
      </c>
      <c r="AW50" s="90" t="str">
        <f t="shared" ref="AW50" si="505">IF(AW45&gt;AV46,"YES", "NO")</f>
        <v>NO</v>
      </c>
      <c r="AX50" s="90" t="str">
        <f t="shared" ref="AX50" si="506">IF(AX45&gt;AW46,"YES", "NO")</f>
        <v>NO</v>
      </c>
      <c r="AY50" s="90" t="str">
        <f t="shared" ref="AY50" si="507">IF(AY45&gt;AX46,"YES", "NO")</f>
        <v>NO</v>
      </c>
      <c r="AZ50" s="90" t="str">
        <f t="shared" ref="AZ50" si="508">IF(AZ45&gt;AY46,"YES", "NO")</f>
        <v>NO</v>
      </c>
      <c r="BA50" s="90" t="str">
        <f t="shared" ref="BA50" si="509">IF(BA45&gt;AZ46,"YES", "NO")</f>
        <v>NO</v>
      </c>
      <c r="BB50" s="90" t="str">
        <f t="shared" ref="BB50" si="510">IF(BB45&gt;BA46,"YES", "NO")</f>
        <v>NO</v>
      </c>
      <c r="BC50" s="90" t="str">
        <f t="shared" ref="BC50" si="511">IF(BC45&gt;BB46,"YES", "NO")</f>
        <v>NO</v>
      </c>
      <c r="BD50" s="90" t="str">
        <f t="shared" ref="BD50" si="512">IF(BD45&gt;BC46,"YES", "NO")</f>
        <v>NO</v>
      </c>
      <c r="BE50" s="90" t="str">
        <f t="shared" ref="BE50" si="513">IF(BE45&gt;BD46,"YES", "NO")</f>
        <v>NO</v>
      </c>
      <c r="BF50" s="90" t="str">
        <f t="shared" ref="BF50" si="514">IF(BF45&gt;BE46,"YES", "NO")</f>
        <v>NO</v>
      </c>
      <c r="BG50" s="90" t="str">
        <f t="shared" ref="BG50" si="515">IF(BG45&gt;BF46,"YES", "NO")</f>
        <v>NO</v>
      </c>
      <c r="BH50" s="90" t="str">
        <f t="shared" ref="BH50" si="516">IF(BH45&gt;BG46,"YES", "NO")</f>
        <v>NO</v>
      </c>
      <c r="BI50" s="90" t="str">
        <f t="shared" ref="BI50" si="517">IF(BI45&gt;BH46,"YES", "NO")</f>
        <v>NO</v>
      </c>
      <c r="BJ50" s="90" t="str">
        <f t="shared" ref="BJ50" si="518">IF(BJ45&gt;BI46,"YES", "NO")</f>
        <v>NO</v>
      </c>
      <c r="BK50" s="90" t="str">
        <f t="shared" ref="BK50" si="519">IF(BK45&gt;BJ46,"YES", "NO")</f>
        <v>NO</v>
      </c>
      <c r="BL50" s="1" t="s">
        <v>186</v>
      </c>
      <c r="BN50" s="90"/>
      <c r="BO50" s="90" t="str">
        <f t="shared" ref="BO50" si="520">IF(BO45&gt;BN46,"YES", "NO")</f>
        <v>NO</v>
      </c>
      <c r="BP50" s="90" t="str">
        <f t="shared" ref="BP50" si="521">IF(BP45&gt;BO46,"YES", "NO")</f>
        <v>NO</v>
      </c>
      <c r="BQ50" s="90" t="str">
        <f t="shared" ref="BQ50" si="522">IF(BQ45&gt;BP46,"YES", "NO")</f>
        <v>NO</v>
      </c>
      <c r="BR50" s="90" t="str">
        <f t="shared" ref="BR50" si="523">IF(BR45&gt;BQ46,"YES", "NO")</f>
        <v>NO</v>
      </c>
      <c r="BS50" s="90" t="str">
        <f t="shared" ref="BS50" si="524">IF(BS45&gt;BR46,"YES", "NO")</f>
        <v>NO</v>
      </c>
      <c r="BT50" s="90" t="str">
        <f t="shared" ref="BT50" si="525">IF(BT45&gt;BS46,"YES", "NO")</f>
        <v>NO</v>
      </c>
      <c r="BU50" s="90" t="str">
        <f t="shared" ref="BU50" si="526">IF(BU45&gt;BT46,"YES", "NO")</f>
        <v>NO</v>
      </c>
      <c r="BV50" s="90" t="str">
        <f>IF(BV45&gt;BU46,"YES", "NO")</f>
        <v>NO</v>
      </c>
      <c r="BW50" s="90" t="str">
        <f t="shared" ref="BW50" si="527">IF(BW45&gt;BV46,"YES", "NO")</f>
        <v>NO</v>
      </c>
      <c r="BX50" s="90" t="str">
        <f t="shared" ref="BX50" si="528">IF(BX45&gt;BW46,"YES", "NO")</f>
        <v>NO</v>
      </c>
      <c r="BY50" s="90" t="str">
        <f t="shared" ref="BY50" si="529">IF(BY45&gt;BX46,"YES", "NO")</f>
        <v>NO</v>
      </c>
      <c r="BZ50" s="90" t="str">
        <f t="shared" ref="BZ50" si="530">IF(BZ45&gt;BY46,"YES", "NO")</f>
        <v>NO</v>
      </c>
      <c r="CA50" s="90" t="str">
        <f t="shared" ref="CA50" si="531">IF(CA45&gt;BZ46,"YES", "NO")</f>
        <v>NO</v>
      </c>
      <c r="CB50" s="90" t="str">
        <f t="shared" ref="CB50" si="532">IF(CB45&gt;CA46,"YES", "NO")</f>
        <v>NO</v>
      </c>
      <c r="CC50" s="90" t="str">
        <f t="shared" ref="CC50" si="533">IF(CC45&gt;CB46,"YES", "NO")</f>
        <v>NO</v>
      </c>
      <c r="CD50" s="90" t="str">
        <f t="shared" ref="CD50" si="534">IF(CD45&gt;CC46,"YES", "NO")</f>
        <v>NO</v>
      </c>
      <c r="CE50" s="90" t="str">
        <f t="shared" ref="CE50" si="535">IF(CE45&gt;CD46,"YES", "NO")</f>
        <v>NO</v>
      </c>
      <c r="CF50" s="90" t="str">
        <f t="shared" ref="CF50" si="536">IF(CF45&gt;CE46,"YES", "NO")</f>
        <v>NO</v>
      </c>
      <c r="CG50" s="90" t="str">
        <f t="shared" ref="CG50" si="537">IF(CG45&gt;CF46,"YES", "NO")</f>
        <v>NO</v>
      </c>
      <c r="CH50" s="90" t="str">
        <f t="shared" ref="CH50" si="538">IF(CH45&gt;CG46,"YES", "NO")</f>
        <v>NO</v>
      </c>
      <c r="CI50" s="90" t="str">
        <f t="shared" ref="CI50" si="539">IF(CI45&gt;CH46,"YES", "NO")</f>
        <v>NO</v>
      </c>
      <c r="CJ50" s="90" t="str">
        <f t="shared" ref="CJ50" si="540">IF(CJ45&gt;CI46,"YES", "NO")</f>
        <v>NO</v>
      </c>
      <c r="CK50" s="90" t="str">
        <f t="shared" ref="CK50" si="541">IF(CK45&gt;CJ46,"YES", "NO")</f>
        <v>NO</v>
      </c>
      <c r="CL50" s="1" t="s">
        <v>186</v>
      </c>
      <c r="CN50" s="90"/>
      <c r="CO50" s="90" t="str">
        <f t="shared" ref="CO50" si="542">IF(CO45&gt;CN46,"YES", "NO")</f>
        <v>NO</v>
      </c>
      <c r="CP50" s="90" t="str">
        <f t="shared" ref="CP50" si="543">IF(CP45&gt;CO46,"YES", "NO")</f>
        <v>NO</v>
      </c>
      <c r="CQ50" s="90" t="str">
        <f t="shared" ref="CQ50" si="544">IF(CQ45&gt;CP46,"YES", "NO")</f>
        <v>NO</v>
      </c>
      <c r="CR50" s="90" t="str">
        <f t="shared" ref="CR50" si="545">IF(CR45&gt;CQ46,"YES", "NO")</f>
        <v>NO</v>
      </c>
      <c r="CS50" s="90" t="str">
        <f t="shared" ref="CS50" si="546">IF(CS45&gt;CR46,"YES", "NO")</f>
        <v>NO</v>
      </c>
      <c r="CT50" s="90" t="str">
        <f t="shared" ref="CT50" si="547">IF(CT45&gt;CS46,"YES", "NO")</f>
        <v>NO</v>
      </c>
      <c r="CU50" s="90" t="str">
        <f t="shared" ref="CU50" si="548">IF(CU45&gt;CT46,"YES", "NO")</f>
        <v>NO</v>
      </c>
      <c r="CV50" s="90" t="str">
        <f>IF(CV45&gt;CU46,"YES", "NO")</f>
        <v>NO</v>
      </c>
      <c r="CW50" s="90" t="str">
        <f t="shared" ref="CW50" si="549">IF(CW45&gt;CV46,"YES", "NO")</f>
        <v>NO</v>
      </c>
      <c r="CX50" s="90" t="str">
        <f t="shared" ref="CX50" si="550">IF(CX45&gt;CW46,"YES", "NO")</f>
        <v>NO</v>
      </c>
      <c r="CY50" s="90" t="str">
        <f t="shared" ref="CY50" si="551">IF(CY45&gt;CX46,"YES", "NO")</f>
        <v>NO</v>
      </c>
      <c r="CZ50" s="90" t="str">
        <f t="shared" ref="CZ50" si="552">IF(CZ45&gt;CY46,"YES", "NO")</f>
        <v>NO</v>
      </c>
      <c r="DA50" s="90" t="str">
        <f t="shared" ref="DA50" si="553">IF(DA45&gt;CZ46,"YES", "NO")</f>
        <v>NO</v>
      </c>
      <c r="DB50" s="90" t="str">
        <f t="shared" ref="DB50" si="554">IF(DB45&gt;DA46,"YES", "NO")</f>
        <v>NO</v>
      </c>
      <c r="DC50" s="90" t="str">
        <f t="shared" ref="DC50" si="555">IF(DC45&gt;DB46,"YES", "NO")</f>
        <v>NO</v>
      </c>
      <c r="DD50" s="90" t="str">
        <f t="shared" ref="DD50" si="556">IF(DD45&gt;DC46,"YES", "NO")</f>
        <v>NO</v>
      </c>
      <c r="DE50" s="90" t="str">
        <f t="shared" ref="DE50" si="557">IF(DE45&gt;DD46,"YES", "NO")</f>
        <v>NO</v>
      </c>
      <c r="DF50" s="90" t="str">
        <f t="shared" ref="DF50" si="558">IF(DF45&gt;DE46,"YES", "NO")</f>
        <v>NO</v>
      </c>
      <c r="DG50" s="90" t="str">
        <f t="shared" ref="DG50" si="559">IF(DG45&gt;DF46,"YES", "NO")</f>
        <v>NO</v>
      </c>
      <c r="DH50" s="90" t="str">
        <f t="shared" ref="DH50" si="560">IF(DH45&gt;DG46,"YES", "NO")</f>
        <v>NO</v>
      </c>
      <c r="DI50" s="90" t="str">
        <f t="shared" ref="DI50" si="561">IF(DI45&gt;DH46,"YES", "NO")</f>
        <v>NO</v>
      </c>
      <c r="DJ50" s="90" t="str">
        <f t="shared" ref="DJ50" si="562">IF(DJ45&gt;DI46,"YES", "NO")</f>
        <v>NO</v>
      </c>
      <c r="DK50" s="90" t="str">
        <f t="shared" ref="DK50" si="563">IF(DK45&gt;DJ46,"YES", "NO")</f>
        <v>NO</v>
      </c>
      <c r="DL50" s="1" t="s">
        <v>186</v>
      </c>
      <c r="DN50" s="90"/>
      <c r="DO50" s="90" t="str">
        <f t="shared" ref="DO50" si="564">IF(DO45&gt;DN46,"YES", "NO")</f>
        <v>NO</v>
      </c>
      <c r="DP50" s="90" t="str">
        <f t="shared" ref="DP50" si="565">IF(DP45&gt;DO46,"YES", "NO")</f>
        <v>NO</v>
      </c>
      <c r="DQ50" s="90" t="str">
        <f t="shared" ref="DQ50" si="566">IF(DQ45&gt;DP46,"YES", "NO")</f>
        <v>NO</v>
      </c>
      <c r="DR50" s="90" t="str">
        <f t="shared" ref="DR50" si="567">IF(DR45&gt;DQ46,"YES", "NO")</f>
        <v>NO</v>
      </c>
      <c r="DS50" s="90" t="str">
        <f t="shared" ref="DS50" si="568">IF(DS45&gt;DR46,"YES", "NO")</f>
        <v>NO</v>
      </c>
      <c r="DT50" s="90" t="str">
        <f t="shared" ref="DT50" si="569">IF(DT45&gt;DS46,"YES", "NO")</f>
        <v>NO</v>
      </c>
      <c r="DU50" s="90" t="str">
        <f t="shared" ref="DU50" si="570">IF(DU45&gt;DT46,"YES", "NO")</f>
        <v>NO</v>
      </c>
      <c r="DV50" s="90" t="str">
        <f>IF(DV45&gt;DU46,"YES", "NO")</f>
        <v>NO</v>
      </c>
      <c r="DW50" s="90" t="str">
        <f t="shared" ref="DW50" si="571">IF(DW45&gt;DV46,"YES", "NO")</f>
        <v>NO</v>
      </c>
      <c r="DX50" s="90" t="str">
        <f t="shared" ref="DX50" si="572">IF(DX45&gt;DW46,"YES", "NO")</f>
        <v>NO</v>
      </c>
      <c r="DY50" s="90" t="str">
        <f t="shared" ref="DY50" si="573">IF(DY45&gt;DX46,"YES", "NO")</f>
        <v>NO</v>
      </c>
      <c r="DZ50" s="90" t="str">
        <f t="shared" ref="DZ50" si="574">IF(DZ45&gt;DY46,"YES", "NO")</f>
        <v>NO</v>
      </c>
      <c r="EA50" s="90" t="str">
        <f t="shared" ref="EA50" si="575">IF(EA45&gt;DZ46,"YES", "NO")</f>
        <v>NO</v>
      </c>
      <c r="EB50" s="90" t="str">
        <f t="shared" ref="EB50" si="576">IF(EB45&gt;EA46,"YES", "NO")</f>
        <v>NO</v>
      </c>
      <c r="EC50" s="90" t="str">
        <f t="shared" ref="EC50" si="577">IF(EC45&gt;EB46,"YES", "NO")</f>
        <v>NO</v>
      </c>
      <c r="ED50" s="90" t="str">
        <f t="shared" ref="ED50" si="578">IF(ED45&gt;EC46,"YES", "NO")</f>
        <v>NO</v>
      </c>
      <c r="EE50" s="90" t="str">
        <f t="shared" ref="EE50" si="579">IF(EE45&gt;ED46,"YES", "NO")</f>
        <v>NO</v>
      </c>
      <c r="EF50" s="90" t="str">
        <f t="shared" ref="EF50" si="580">IF(EF45&gt;EE46,"YES", "NO")</f>
        <v>NO</v>
      </c>
      <c r="EG50" s="90" t="str">
        <f t="shared" ref="EG50" si="581">IF(EG45&gt;EF46,"YES", "NO")</f>
        <v>NO</v>
      </c>
      <c r="EH50" s="90" t="str">
        <f t="shared" ref="EH50" si="582">IF(EH45&gt;EG46,"YES", "NO")</f>
        <v>NO</v>
      </c>
      <c r="EI50" s="90" t="str">
        <f t="shared" ref="EI50" si="583">IF(EI45&gt;EH46,"YES", "NO")</f>
        <v>NO</v>
      </c>
      <c r="EJ50" s="90" t="str">
        <f t="shared" ref="EJ50" si="584">IF(EJ45&gt;EI46,"YES", "NO")</f>
        <v>NO</v>
      </c>
      <c r="EK50" s="90" t="str">
        <f t="shared" ref="EK50" si="585">IF(EK45&gt;EJ46,"YES", "NO")</f>
        <v>NO</v>
      </c>
      <c r="EL50" s="1" t="s">
        <v>186</v>
      </c>
      <c r="EN50" s="90"/>
      <c r="EO50" s="90" t="str">
        <f t="shared" ref="EO50" si="586">IF(EO45&gt;EN46,"YES", "NO")</f>
        <v>NO</v>
      </c>
      <c r="EP50" s="90" t="str">
        <f t="shared" ref="EP50" si="587">IF(EP45&gt;EO46,"YES", "NO")</f>
        <v>NO</v>
      </c>
      <c r="EQ50" s="90" t="str">
        <f t="shared" ref="EQ50" si="588">IF(EQ45&gt;EP46,"YES", "NO")</f>
        <v>NO</v>
      </c>
      <c r="ER50" s="90" t="str">
        <f t="shared" ref="ER50" si="589">IF(ER45&gt;EQ46,"YES", "NO")</f>
        <v>NO</v>
      </c>
      <c r="ES50" s="90" t="str">
        <f t="shared" ref="ES50" si="590">IF(ES45&gt;ER46,"YES", "NO")</f>
        <v>NO</v>
      </c>
      <c r="ET50" s="90" t="str">
        <f t="shared" ref="ET50" si="591">IF(ET45&gt;ES46,"YES", "NO")</f>
        <v>NO</v>
      </c>
      <c r="EU50" s="90" t="str">
        <f t="shared" ref="EU50" si="592">IF(EU45&gt;ET46,"YES", "NO")</f>
        <v>NO</v>
      </c>
      <c r="EV50" s="90" t="str">
        <f>IF(EV45&gt;EU46,"YES", "NO")</f>
        <v>NO</v>
      </c>
      <c r="EW50" s="90" t="str">
        <f t="shared" ref="EW50" si="593">IF(EW45&gt;EV46,"YES", "NO")</f>
        <v>NO</v>
      </c>
      <c r="EX50" s="90" t="str">
        <f t="shared" ref="EX50" si="594">IF(EX45&gt;EW46,"YES", "NO")</f>
        <v>NO</v>
      </c>
      <c r="EY50" s="90" t="str">
        <f t="shared" ref="EY50" si="595">IF(EY45&gt;EX46,"YES", "NO")</f>
        <v>NO</v>
      </c>
      <c r="EZ50" s="90" t="str">
        <f t="shared" ref="EZ50" si="596">IF(EZ45&gt;EY46,"YES", "NO")</f>
        <v>NO</v>
      </c>
      <c r="FA50" s="90" t="str">
        <f t="shared" ref="FA50" si="597">IF(FA45&gt;EZ46,"YES", "NO")</f>
        <v>NO</v>
      </c>
      <c r="FB50" s="90" t="str">
        <f t="shared" ref="FB50" si="598">IF(FB45&gt;FA46,"YES", "NO")</f>
        <v>NO</v>
      </c>
      <c r="FC50" s="90" t="str">
        <f t="shared" ref="FC50" si="599">IF(FC45&gt;FB46,"YES", "NO")</f>
        <v>NO</v>
      </c>
      <c r="FD50" s="90" t="str">
        <f t="shared" ref="FD50" si="600">IF(FD45&gt;FC46,"YES", "NO")</f>
        <v>NO</v>
      </c>
      <c r="FE50" s="90" t="str">
        <f t="shared" ref="FE50" si="601">IF(FE45&gt;FD46,"YES", "NO")</f>
        <v>NO</v>
      </c>
      <c r="FF50" s="90" t="str">
        <f t="shared" ref="FF50" si="602">IF(FF45&gt;FE46,"YES", "NO")</f>
        <v>NO</v>
      </c>
      <c r="FG50" s="90" t="str">
        <f t="shared" ref="FG50" si="603">IF(FG45&gt;FF46,"YES", "NO")</f>
        <v>NO</v>
      </c>
      <c r="FH50" s="90" t="str">
        <f t="shared" ref="FH50" si="604">IF(FH45&gt;FG46,"YES", "NO")</f>
        <v>NO</v>
      </c>
      <c r="FI50" s="90" t="str">
        <f t="shared" ref="FI50" si="605">IF(FI45&gt;FH46,"YES", "NO")</f>
        <v>NO</v>
      </c>
      <c r="FJ50" s="90" t="str">
        <f t="shared" ref="FJ50" si="606">IF(FJ45&gt;FI46,"YES", "NO")</f>
        <v>NO</v>
      </c>
      <c r="FK50" s="90" t="str">
        <f t="shared" ref="FK50" si="607">IF(FK45&gt;FJ46,"YES", "NO")</f>
        <v>NO</v>
      </c>
    </row>
    <row r="51" spans="2:167" x14ac:dyDescent="0.25">
      <c r="B51" s="37" t="s">
        <v>143</v>
      </c>
      <c r="D51" s="1" t="s">
        <v>40</v>
      </c>
      <c r="E51" s="13">
        <f>E50*J35</f>
        <v>550.80000000000007</v>
      </c>
      <c r="J51" s="38"/>
      <c r="L51" s="1" t="s">
        <v>139</v>
      </c>
      <c r="N51" s="90"/>
      <c r="O51" s="90" t="str" cm="1">
        <f t="array" ref="O51">_xlfn.IFS(O52="YES", IF(O53="NO","Discharge", "Charge"),O41&gt;0,"Charge",O41+O44=0,"Idle")</f>
        <v>Charge</v>
      </c>
      <c r="P51" s="90" t="str" cm="1">
        <f t="array" ref="P51">_xlfn.IFS(P52="YES", IF(P53="NO","Discharge", "Charge"),P41&gt;0,"Charge",P41+P44=0,"Idle")</f>
        <v>Charge</v>
      </c>
      <c r="Q51" s="90" t="str" cm="1">
        <f t="array" ref="Q51">_xlfn.IFS(Q52="YES", IF(Q53="NO","Discharge", "Charge"),Q41&gt;0,"Charge",Q41+Q44=0,"Idle")</f>
        <v>Charge</v>
      </c>
      <c r="R51" s="90" t="str" cm="1">
        <f t="array" ref="R51">_xlfn.IFS(R52="YES", IF(R53="NO","Discharge", "Charge"),R41&gt;0,"Charge",R41+R44=0,"Idle")</f>
        <v>Charge</v>
      </c>
      <c r="S51" s="90" t="str" cm="1">
        <f t="array" ref="S51">_xlfn.IFS(S52="YES", IF(S53="NO","Discharge", "Charge"),S41&gt;0,"Charge",S41+S44=0,"Idle")</f>
        <v>Discharge</v>
      </c>
      <c r="T51" s="90" t="str" cm="1">
        <f t="array" ref="T51">_xlfn.IFS(T52="YES", IF(T53="NO","Discharge", "Charge"),T41&gt;0,"Charge",T41+T44=0,"Idle")</f>
        <v>Discharge</v>
      </c>
      <c r="U51" s="90" t="str" cm="1">
        <f t="array" ref="U51">_xlfn.IFS(U52="YES", IF(U53="NO","Discharge", "Charge"),U41&gt;0,"Charge",U41+U44=0,"Idle")</f>
        <v>Discharge</v>
      </c>
      <c r="V51" s="90" t="str" cm="1">
        <f t="array" ref="V51">_xlfn.IFS(V52="YES", IF(V53="NO","Discharge", "Charge"),V41&gt;0,"Charge",V41+V44=0,"Idle")</f>
        <v>Discharge</v>
      </c>
      <c r="W51" s="90" t="str" cm="1">
        <f t="array" ref="W51">_xlfn.IFS(W52="YES", IF(W53="NO","Discharge", "Charge"),W41&gt;0,"Charge",W41+W44=0,"Idle")</f>
        <v>Discharge</v>
      </c>
      <c r="X51" s="90" t="str" cm="1">
        <f t="array" ref="X51">_xlfn.IFS(X52="YES", IF(X53="NO","Discharge", "Charge"),X41&gt;0,"Charge",X41+X44=0,"Idle")</f>
        <v>Discharge</v>
      </c>
      <c r="Y51" s="90" t="str" cm="1">
        <f t="array" ref="Y51">_xlfn.IFS(Y52="YES", IF(Y53="NO","Discharge", "Charge"),Y41&gt;0,"Charge",Y41+Y44=0,"Idle")</f>
        <v>Discharge</v>
      </c>
      <c r="Z51" s="90" t="str" cm="1">
        <f t="array" ref="Z51">_xlfn.IFS(Z52="YES", IF(Z53="NO","Discharge", "Charge"),Z41&gt;0,"Charge",Z41+Z44=0,"Idle")</f>
        <v>Discharge</v>
      </c>
      <c r="AA51" s="90" t="str" cm="1">
        <f t="array" ref="AA51">_xlfn.IFS(AA52="YES", IF(AA53="NO","Discharge", "Charge"),AA41&gt;0,"Charge",AA41+AA44=0,"Idle")</f>
        <v>Discharge</v>
      </c>
      <c r="AB51" s="90" t="str" cm="1">
        <f t="array" ref="AB51">_xlfn.IFS(AB52="YES", IF(AB53="NO","Discharge", "Charge"),AB41&gt;0,"Charge",AB41+AB44=0,"Idle")</f>
        <v>Discharge</v>
      </c>
      <c r="AC51" s="90" t="str" cm="1">
        <f t="array" ref="AC51">_xlfn.IFS(AC52="YES", IF(AC53="NO","Discharge", "Charge"),AC41&gt;0,"Charge",AC41+AC44=0,"Idle")</f>
        <v>Discharge</v>
      </c>
      <c r="AD51" s="90" t="str" cm="1">
        <f t="array" ref="AD51">_xlfn.IFS(AD52="YES", IF(AD53="NO","Discharge", "Charge"),AD41&gt;0,"Charge",AD41+AD44=0,"Idle")</f>
        <v>Discharge</v>
      </c>
      <c r="AE51" s="90" t="str" cm="1">
        <f t="array" ref="AE51">_xlfn.IFS(AE52="YES", IF(AE53="NO","Discharge", "Charge"),AE41&gt;0,"Charge",AE41+AE44=0,"Idle")</f>
        <v>Discharge</v>
      </c>
      <c r="AF51" s="90" t="str" cm="1">
        <f t="array" ref="AF51">_xlfn.IFS(AF52="YES", IF(AF53="NO","Discharge", "Charge"),AF41&gt;0,"Charge",AF41+AF44=0,"Idle")</f>
        <v>Discharge</v>
      </c>
      <c r="AG51" s="90" t="str" cm="1">
        <f t="array" ref="AG51">_xlfn.IFS(AG52="YES", IF(AG53="NO","Discharge", "Charge"),AG41&gt;0,"Charge",AG41+AG44=0,"Idle")</f>
        <v>Discharge</v>
      </c>
      <c r="AH51" s="90" t="str" cm="1">
        <f t="array" ref="AH51">_xlfn.IFS(AH52="YES", IF(AH53="NO","Discharge", "Charge"),AH41&gt;0,"Charge",AH41+AH44=0,"Idle")</f>
        <v>Discharge</v>
      </c>
      <c r="AI51" s="90" t="str" cm="1">
        <f t="array" ref="AI51">_xlfn.IFS(AI52="YES", IF(AI53="NO","Discharge", "Charge"),AI41&gt;0,"Charge",AI41+AI44=0,"Idle")</f>
        <v>Discharge</v>
      </c>
      <c r="AJ51" s="90" t="str" cm="1">
        <f t="array" ref="AJ51">_xlfn.IFS(AJ52="YES", IF(AJ53="NO","Discharge", "Charge"),AJ41&gt;0,"Charge",AJ41+AJ44=0,"Idle")</f>
        <v>Charge</v>
      </c>
      <c r="AK51" s="90" t="str" cm="1">
        <f t="array" ref="AK51">_xlfn.IFS(AK52="YES", IF(AK53="NO","Discharge", "Charge"),AK41&gt;0,"Charge",AK41+AK44=0,"Idle")</f>
        <v>Charge</v>
      </c>
      <c r="AL51" s="1" t="s">
        <v>139</v>
      </c>
      <c r="AN51" s="90"/>
      <c r="AO51" s="90" t="str" cm="1">
        <f t="array" ref="AO51">_xlfn.IFS(AO52="YES", IF(AO53="NO","Discharge", "Charge"),AO41&gt;0,"Charge",AO41+AO44=0,"Idle")</f>
        <v>Charge</v>
      </c>
      <c r="AP51" s="90" t="str" cm="1">
        <f t="array" ref="AP51">_xlfn.IFS(AP52="YES", IF(AP53="NO","Discharge", "Charge"),AP41&gt;0,"Charge",AP41+AP44=0,"Idle")</f>
        <v>Charge</v>
      </c>
      <c r="AQ51" s="90" t="str" cm="1">
        <f t="array" ref="AQ51">_xlfn.IFS(AQ52="YES", IF(AQ53="NO","Discharge", "Charge"),AQ41&gt;0,"Charge",AQ41+AQ44=0,"Idle")</f>
        <v>Charge</v>
      </c>
      <c r="AR51" s="90" t="str" cm="1">
        <f t="array" ref="AR51">_xlfn.IFS(AR52="YES", IF(AR53="NO","Discharge", "Charge"),AR41&gt;0,"Charge",AR41+AR44=0,"Idle")</f>
        <v>Charge</v>
      </c>
      <c r="AS51" s="90" t="str" cm="1">
        <f t="array" ref="AS51">_xlfn.IFS(AS52="YES", IF(AS53="NO","Discharge", "Charge"),AS41&gt;0,"Charge",AS41+AS44=0,"Idle")</f>
        <v>Discharge</v>
      </c>
      <c r="AT51" s="90" t="str" cm="1">
        <f t="array" ref="AT51">_xlfn.IFS(AT52="YES", IF(AT53="NO","Discharge", "Charge"),AT41&gt;0,"Charge",AT41+AT44=0,"Idle")</f>
        <v>Discharge</v>
      </c>
      <c r="AU51" s="90" t="str" cm="1">
        <f t="array" ref="AU51">_xlfn.IFS(AU52="YES", IF(AU53="NO","Discharge", "Charge"),AU41&gt;0,"Charge",AU41+AU44=0,"Idle")</f>
        <v>Discharge</v>
      </c>
      <c r="AV51" s="90" t="str" cm="1">
        <f t="array" ref="AV51">_xlfn.IFS(AV52="YES", IF(AV53="NO","Discharge", "Charge"),AV41&gt;0,"Charge",AV41+AV44=0,"Idle")</f>
        <v>Discharge</v>
      </c>
      <c r="AW51" s="90" t="str" cm="1">
        <f t="array" ref="AW51">_xlfn.IFS(AW52="YES", IF(AW53="NO","Discharge", "Charge"),AW41&gt;0,"Charge",AW41+AW44=0,"Idle")</f>
        <v>Discharge</v>
      </c>
      <c r="AX51" s="90" t="str" cm="1">
        <f t="array" ref="AX51">_xlfn.IFS(AX52="YES", IF(AX53="NO","Discharge", "Charge"),AX41&gt;0,"Charge",AX41+AX44=0,"Idle")</f>
        <v>Discharge</v>
      </c>
      <c r="AY51" s="90" t="str" cm="1">
        <f t="array" ref="AY51">_xlfn.IFS(AY52="YES", IF(AY53="NO","Discharge", "Charge"),AY41&gt;0,"Charge",AY41+AY44=0,"Idle")</f>
        <v>Discharge</v>
      </c>
      <c r="AZ51" s="90" t="str" cm="1">
        <f t="array" ref="AZ51">_xlfn.IFS(AZ52="YES", IF(AZ53="NO","Discharge", "Charge"),AZ41&gt;0,"Charge",AZ41+AZ44=0,"Idle")</f>
        <v>Discharge</v>
      </c>
      <c r="BA51" s="90" t="str" cm="1">
        <f t="array" ref="BA51">_xlfn.IFS(BA52="YES", IF(BA53="NO","Discharge", "Charge"),BA41&gt;0,"Charge",BA41+BA44=0,"Idle")</f>
        <v>Discharge</v>
      </c>
      <c r="BB51" s="90" t="str" cm="1">
        <f t="array" ref="BB51">_xlfn.IFS(BB52="YES", IF(BB53="NO","Discharge", "Charge"),BB41&gt;0,"Charge",BB41+BB44=0,"Idle")</f>
        <v>Discharge</v>
      </c>
      <c r="BC51" s="90" t="str" cm="1">
        <f t="array" ref="BC51">_xlfn.IFS(BC52="YES", IF(BC53="NO","Discharge", "Charge"),BC41&gt;0,"Charge",BC41+BC44=0,"Idle")</f>
        <v>Discharge</v>
      </c>
      <c r="BD51" s="90" t="str" cm="1">
        <f t="array" ref="BD51">_xlfn.IFS(BD52="YES", IF(BD53="NO","Discharge", "Charge"),BD41&gt;0,"Charge",BD41+BD44=0,"Idle")</f>
        <v>Discharge</v>
      </c>
      <c r="BE51" s="90" t="str" cm="1">
        <f t="array" ref="BE51">_xlfn.IFS(BE52="YES", IF(BE53="NO","Discharge", "Charge"),BE41&gt;0,"Charge",BE41+BE44=0,"Idle")</f>
        <v>Discharge</v>
      </c>
      <c r="BF51" s="90" t="str" cm="1">
        <f t="array" ref="BF51">_xlfn.IFS(BF52="YES", IF(BF53="NO","Discharge", "Charge"),BF41&gt;0,"Charge",BF41+BF44=0,"Idle")</f>
        <v>Discharge</v>
      </c>
      <c r="BG51" s="90" t="str" cm="1">
        <f t="array" ref="BG51">_xlfn.IFS(BG52="YES", IF(BG53="NO","Discharge", "Charge"),BG41&gt;0,"Charge",BG41+BG44=0,"Idle")</f>
        <v>Discharge</v>
      </c>
      <c r="BH51" s="90" t="str" cm="1">
        <f t="array" ref="BH51">_xlfn.IFS(BH52="YES", IF(BH53="NO","Discharge", "Charge"),BH41&gt;0,"Charge",BH41+BH44=0,"Idle")</f>
        <v>Discharge</v>
      </c>
      <c r="BI51" s="90" t="str" cm="1">
        <f t="array" ref="BI51">_xlfn.IFS(BI52="YES", IF(BI53="NO","Discharge", "Charge"),BI41&gt;0,"Charge",BI41+BI44=0,"Idle")</f>
        <v>Discharge</v>
      </c>
      <c r="BJ51" s="90" t="str" cm="1">
        <f t="array" ref="BJ51">_xlfn.IFS(BJ52="YES", IF(BJ53="NO","Discharge", "Charge"),BJ41&gt;0,"Charge",BJ41+BJ44=0,"Idle")</f>
        <v>Discharge</v>
      </c>
      <c r="BK51" s="90" t="str" cm="1">
        <f t="array" ref="BK51">_xlfn.IFS(BK52="YES", IF(BK53="NO","Discharge", "Charge"),BK41&gt;0,"Charge",BK41+BK44=0,"Idle")</f>
        <v>Discharge</v>
      </c>
      <c r="BL51" s="1" t="s">
        <v>139</v>
      </c>
      <c r="BN51" s="90"/>
      <c r="BO51" s="90" t="str" cm="1">
        <f t="array" ref="BO51">_xlfn.IFS(BO52="YES", IF(BO53="NO","Discharge", "Charge"),BO41&gt;0,"Charge",BO41+BO44=0,"Idle")</f>
        <v>Charge</v>
      </c>
      <c r="BP51" s="90" t="str" cm="1">
        <f t="array" ref="BP51">_xlfn.IFS(BP52="YES", IF(BP53="NO","Discharge", "Charge"),BP41&gt;0,"Charge",BP41+BP44=0,"Idle")</f>
        <v>Charge</v>
      </c>
      <c r="BQ51" s="90" t="str" cm="1">
        <f t="array" ref="BQ51">_xlfn.IFS(BQ52="YES", IF(BQ53="NO","Discharge", "Charge"),BQ41&gt;0,"Charge",BQ41+BQ44=0,"Idle")</f>
        <v>Charge</v>
      </c>
      <c r="BR51" s="90" t="str" cm="1">
        <f t="array" ref="BR51">_xlfn.IFS(BR52="YES", IF(BR53="NO","Discharge", "Charge"),BR41&gt;0,"Charge",BR41+BR44=0,"Idle")</f>
        <v>Charge</v>
      </c>
      <c r="BS51" s="90" t="str" cm="1">
        <f t="array" ref="BS51">_xlfn.IFS(BS52="YES", IF(BS53="NO","Discharge", "Charge"),BS41&gt;0,"Charge",BS41+BS44=0,"Idle")</f>
        <v>Discharge</v>
      </c>
      <c r="BT51" s="90" t="str" cm="1">
        <f t="array" ref="BT51">_xlfn.IFS(BT52="YES", IF(BT53="NO","Discharge", "Charge"),BT41&gt;0,"Charge",BT41+BT44=0,"Idle")</f>
        <v>Discharge</v>
      </c>
      <c r="BU51" s="90" t="str" cm="1">
        <f t="array" ref="BU51">_xlfn.IFS(BU52="YES", IF(BU53="NO","Discharge", "Charge"),BU41&gt;0,"Charge",BU41+BU44=0,"Idle")</f>
        <v>Discharge</v>
      </c>
      <c r="BV51" s="90" t="str" cm="1">
        <f t="array" ref="BV51">_xlfn.IFS(BV52="YES", IF(BV53="NO","Discharge", "Charge"),BV41&gt;0,"Charge",BV41+BV44=0,"Idle")</f>
        <v>Discharge</v>
      </c>
      <c r="BW51" s="90" t="str" cm="1">
        <f t="array" ref="BW51">_xlfn.IFS(BW52="YES", IF(BW53="NO","Discharge", "Charge"),BW41&gt;0,"Charge",BW41+BW44=0,"Idle")</f>
        <v>Discharge</v>
      </c>
      <c r="BX51" s="90" t="str" cm="1">
        <f t="array" ref="BX51">_xlfn.IFS(BX52="YES", IF(BX53="NO","Discharge", "Charge"),BX41&gt;0,"Charge",BX41+BX44=0,"Idle")</f>
        <v>Discharge</v>
      </c>
      <c r="BY51" s="90" t="str" cm="1">
        <f t="array" ref="BY51">_xlfn.IFS(BY52="YES", IF(BY53="NO","Discharge", "Charge"),BY41&gt;0,"Charge",BY41+BY44=0,"Idle")</f>
        <v>Discharge</v>
      </c>
      <c r="BZ51" s="90" t="str" cm="1">
        <f t="array" ref="BZ51">_xlfn.IFS(BZ52="YES", IF(BZ53="NO","Discharge", "Charge"),BZ41&gt;0,"Charge",BZ41+BZ44=0,"Idle")</f>
        <v>Discharge</v>
      </c>
      <c r="CA51" s="90" t="str" cm="1">
        <f t="array" ref="CA51">_xlfn.IFS(CA52="YES", IF(CA53="NO","Discharge", "Charge"),CA41&gt;0,"Charge",CA41+CA44=0,"Idle")</f>
        <v>Discharge</v>
      </c>
      <c r="CB51" s="90" t="str" cm="1">
        <f t="array" ref="CB51">_xlfn.IFS(CB52="YES", IF(CB53="NO","Discharge", "Charge"),CB41&gt;0,"Charge",CB41+CB44=0,"Idle")</f>
        <v>Discharge</v>
      </c>
      <c r="CC51" s="90" t="str" cm="1">
        <f t="array" ref="CC51">_xlfn.IFS(CC52="YES", IF(CC53="NO","Discharge", "Charge"),CC41&gt;0,"Charge",CC41+CC44=0,"Idle")</f>
        <v>Discharge</v>
      </c>
      <c r="CD51" s="90" t="str" cm="1">
        <f t="array" ref="CD51">_xlfn.IFS(CD52="YES", IF(CD53="NO","Discharge", "Charge"),CD41&gt;0,"Charge",CD41+CD44=0,"Idle")</f>
        <v>Discharge</v>
      </c>
      <c r="CE51" s="90" t="str" cm="1">
        <f t="array" ref="CE51">_xlfn.IFS(CE52="YES", IF(CE53="NO","Discharge", "Charge"),CE41&gt;0,"Charge",CE41+CE44=0,"Idle")</f>
        <v>Discharge</v>
      </c>
      <c r="CF51" s="90" t="str" cm="1">
        <f t="array" ref="CF51">_xlfn.IFS(CF52="YES", IF(CF53="NO","Discharge", "Charge"),CF41&gt;0,"Charge",CF41+CF44=0,"Idle")</f>
        <v>Discharge</v>
      </c>
      <c r="CG51" s="90" t="str" cm="1">
        <f t="array" ref="CG51">_xlfn.IFS(CG52="YES", IF(CG53="NO","Discharge", "Charge"),CG41&gt;0,"Charge",CG41+CG44=0,"Idle")</f>
        <v>Discharge</v>
      </c>
      <c r="CH51" s="90" t="str" cm="1">
        <f t="array" ref="CH51">_xlfn.IFS(CH52="YES", IF(CH53="NO","Discharge", "Charge"),CH41&gt;0,"Charge",CH41+CH44=0,"Idle")</f>
        <v>Discharge</v>
      </c>
      <c r="CI51" s="90" t="str" cm="1">
        <f t="array" ref="CI51">_xlfn.IFS(CI52="YES", IF(CI53="NO","Discharge", "Charge"),CI41&gt;0,"Charge",CI41+CI44=0,"Idle")</f>
        <v>Discharge</v>
      </c>
      <c r="CJ51" s="90" t="str" cm="1">
        <f t="array" ref="CJ51">_xlfn.IFS(CJ52="YES", IF(CJ53="NO","Discharge", "Charge"),CJ41&gt;0,"Charge",CJ41+CJ44=0,"Idle")</f>
        <v>Discharge</v>
      </c>
      <c r="CK51" s="90" t="str" cm="1">
        <f t="array" ref="CK51">_xlfn.IFS(CK52="YES", IF(CK53="NO","Discharge", "Charge"),CK41&gt;0,"Charge",CK41+CK44=0,"Idle")</f>
        <v>Charge</v>
      </c>
      <c r="CL51" s="1" t="s">
        <v>139</v>
      </c>
      <c r="CN51" s="90"/>
      <c r="CO51" s="90" t="str" cm="1">
        <f t="array" ref="CO51">_xlfn.IFS(CO52="YES", IF(CO53="NO","Discharge", "Charge"),CO41&gt;0,"Charge",CO41+CO44=0,"Idle")</f>
        <v>Charge</v>
      </c>
      <c r="CP51" s="90" t="str" cm="1">
        <f t="array" ref="CP51">_xlfn.IFS(CP52="YES", IF(CP53="NO","Discharge", "Charge"),CP41&gt;0,"Charge",CP41+CP44=0,"Idle")</f>
        <v>Charge</v>
      </c>
      <c r="CQ51" s="90" t="str" cm="1">
        <f t="array" ref="CQ51">_xlfn.IFS(CQ52="YES", IF(CQ53="NO","Discharge", "Charge"),CQ41&gt;0,"Charge",CQ41+CQ44=0,"Idle")</f>
        <v>Charge</v>
      </c>
      <c r="CR51" s="90" t="str" cm="1">
        <f t="array" ref="CR51">_xlfn.IFS(CR52="YES", IF(CR53="NO","Discharge", "Charge"),CR41&gt;0,"Charge",CR41+CR44=0,"Idle")</f>
        <v>Discharge</v>
      </c>
      <c r="CS51" s="90" t="str" cm="1">
        <f t="array" ref="CS51">_xlfn.IFS(CS52="YES", IF(CS53="NO","Discharge", "Charge"),CS41&gt;0,"Charge",CS41+CS44=0,"Idle")</f>
        <v>Discharge</v>
      </c>
      <c r="CT51" s="90" t="str" cm="1">
        <f t="array" ref="CT51">_xlfn.IFS(CT52="YES", IF(CT53="NO","Discharge", "Charge"),CT41&gt;0,"Charge",CT41+CT44=0,"Idle")</f>
        <v>Discharge</v>
      </c>
      <c r="CU51" s="90" t="str" cm="1">
        <f t="array" ref="CU51">_xlfn.IFS(CU52="YES", IF(CU53="NO","Discharge", "Charge"),CU41&gt;0,"Charge",CU41+CU44=0,"Idle")</f>
        <v>Discharge</v>
      </c>
      <c r="CV51" s="90" t="str" cm="1">
        <f t="array" ref="CV51">_xlfn.IFS(CV52="YES", IF(CV53="NO","Discharge", "Charge"),CV41&gt;0,"Charge",CV41+CV44=0,"Idle")</f>
        <v>Discharge</v>
      </c>
      <c r="CW51" s="90" t="str" cm="1">
        <f t="array" ref="CW51">_xlfn.IFS(CW52="YES", IF(CW53="NO","Discharge", "Charge"),CW41&gt;0,"Charge",CW41+CW44=0,"Idle")</f>
        <v>Discharge</v>
      </c>
      <c r="CX51" s="90" t="str" cm="1">
        <f t="array" ref="CX51">_xlfn.IFS(CX52="YES", IF(CX53="NO","Discharge", "Charge"),CX41&gt;0,"Charge",CX41+CX44=0,"Idle")</f>
        <v>Discharge</v>
      </c>
      <c r="CY51" s="90" t="str" cm="1">
        <f t="array" ref="CY51">_xlfn.IFS(CY52="YES", IF(CY53="NO","Discharge", "Charge"),CY41&gt;0,"Charge",CY41+CY44=0,"Idle")</f>
        <v>Discharge</v>
      </c>
      <c r="CZ51" s="90" t="str" cm="1">
        <f t="array" ref="CZ51">_xlfn.IFS(CZ52="YES", IF(CZ53="NO","Discharge", "Charge"),CZ41&gt;0,"Charge",CZ41+CZ44=0,"Idle")</f>
        <v>Discharge</v>
      </c>
      <c r="DA51" s="90" t="str" cm="1">
        <f t="array" ref="DA51">_xlfn.IFS(DA52="YES", IF(DA53="NO","Discharge", "Charge"),DA41&gt;0,"Charge",DA41+DA44=0,"Idle")</f>
        <v>Discharge</v>
      </c>
      <c r="DB51" s="90" t="str" cm="1">
        <f t="array" ref="DB51">_xlfn.IFS(DB52="YES", IF(DB53="NO","Discharge", "Charge"),DB41&gt;0,"Charge",DB41+DB44=0,"Idle")</f>
        <v>Discharge</v>
      </c>
      <c r="DC51" s="90" t="str" cm="1">
        <f t="array" ref="DC51">_xlfn.IFS(DC52="YES", IF(DC53="NO","Discharge", "Charge"),DC41&gt;0,"Charge",DC41+DC44=0,"Idle")</f>
        <v>Discharge</v>
      </c>
      <c r="DD51" s="90" t="str" cm="1">
        <f t="array" ref="DD51">_xlfn.IFS(DD52="YES", IF(DD53="NO","Discharge", "Charge"),DD41&gt;0,"Charge",DD41+DD44=0,"Idle")</f>
        <v>Discharge</v>
      </c>
      <c r="DE51" s="90" t="str" cm="1">
        <f t="array" ref="DE51">_xlfn.IFS(DE52="YES", IF(DE53="NO","Discharge", "Charge"),DE41&gt;0,"Charge",DE41+DE44=0,"Idle")</f>
        <v>Discharge</v>
      </c>
      <c r="DF51" s="90" t="str" cm="1">
        <f t="array" ref="DF51">_xlfn.IFS(DF52="YES", IF(DF53="NO","Discharge", "Charge"),DF41&gt;0,"Charge",DF41+DF44=0,"Idle")</f>
        <v>Discharge</v>
      </c>
      <c r="DG51" s="90" t="str" cm="1">
        <f t="array" ref="DG51">_xlfn.IFS(DG52="YES", IF(DG53="NO","Discharge", "Charge"),DG41&gt;0,"Charge",DG41+DG44=0,"Idle")</f>
        <v>Discharge</v>
      </c>
      <c r="DH51" s="90" t="str" cm="1">
        <f t="array" ref="DH51">_xlfn.IFS(DH52="YES", IF(DH53="NO","Discharge", "Charge"),DH41&gt;0,"Charge",DH41+DH44=0,"Idle")</f>
        <v>Discharge</v>
      </c>
      <c r="DI51" s="90" t="str" cm="1">
        <f t="array" ref="DI51">_xlfn.IFS(DI52="YES", IF(DI53="NO","Discharge", "Charge"),DI41&gt;0,"Charge",DI41+DI44=0,"Idle")</f>
        <v>Discharge</v>
      </c>
      <c r="DJ51" s="90" t="str" cm="1">
        <f t="array" ref="DJ51">_xlfn.IFS(DJ52="YES", IF(DJ53="NO","Discharge", "Charge"),DJ41&gt;0,"Charge",DJ41+DJ44=0,"Idle")</f>
        <v>Discharge</v>
      </c>
      <c r="DK51" s="90" t="str" cm="1">
        <f t="array" ref="DK51">_xlfn.IFS(DK52="YES", IF(DK53="NO","Discharge", "Charge"),DK41&gt;0,"Charge",DK41+DK44=0,"Idle")</f>
        <v>Discharge</v>
      </c>
      <c r="DL51" s="1" t="s">
        <v>139</v>
      </c>
      <c r="DN51" s="90"/>
      <c r="DO51" s="90" t="str" cm="1">
        <f t="array" ref="DO51">_xlfn.IFS(DO52="YES", IF(DO53="NO","Discharge", "Charge"),DO41&gt;0,"Charge",DO41+DO44=0,"Idle")</f>
        <v>Charge</v>
      </c>
      <c r="DP51" s="90" t="str" cm="1">
        <f t="array" ref="DP51">_xlfn.IFS(DP52="YES", IF(DP53="NO","Discharge", "Charge"),DP41&gt;0,"Charge",DP41+DP44=0,"Idle")</f>
        <v>Charge</v>
      </c>
      <c r="DQ51" s="90" t="str" cm="1">
        <f t="array" ref="DQ51">_xlfn.IFS(DQ52="YES", IF(DQ53="NO","Discharge", "Charge"),DQ41&gt;0,"Charge",DQ41+DQ44=0,"Idle")</f>
        <v>Charge</v>
      </c>
      <c r="DR51" s="90" t="str" cm="1">
        <f t="array" ref="DR51">_xlfn.IFS(DR52="YES", IF(DR53="NO","Discharge", "Charge"),DR41&gt;0,"Charge",DR41+DR44=0,"Idle")</f>
        <v>Discharge</v>
      </c>
      <c r="DS51" s="90" t="str" cm="1">
        <f t="array" ref="DS51">_xlfn.IFS(DS52="YES", IF(DS53="NO","Discharge", "Charge"),DS41&gt;0,"Charge",DS41+DS44=0,"Idle")</f>
        <v>Discharge</v>
      </c>
      <c r="DT51" s="90" t="str" cm="1">
        <f t="array" ref="DT51">_xlfn.IFS(DT52="YES", IF(DT53="NO","Discharge", "Charge"),DT41&gt;0,"Charge",DT41+DT44=0,"Idle")</f>
        <v>Discharge</v>
      </c>
      <c r="DU51" s="90" t="str" cm="1">
        <f t="array" ref="DU51">_xlfn.IFS(DU52="YES", IF(DU53="NO","Discharge", "Charge"),DU41&gt;0,"Charge",DU41+DU44=0,"Idle")</f>
        <v>Discharge</v>
      </c>
      <c r="DV51" s="90" t="str" cm="1">
        <f t="array" ref="DV51">_xlfn.IFS(DV52="YES", IF(DV53="NO","Discharge", "Charge"),DV41&gt;0,"Charge",DV41+DV44=0,"Idle")</f>
        <v>Discharge</v>
      </c>
      <c r="DW51" s="90" t="str" cm="1">
        <f t="array" ref="DW51">_xlfn.IFS(DW52="YES", IF(DW53="NO","Discharge", "Charge"),DW41&gt;0,"Charge",DW41+DW44=0,"Idle")</f>
        <v>Discharge</v>
      </c>
      <c r="DX51" s="90" t="str" cm="1">
        <f t="array" ref="DX51">_xlfn.IFS(DX52="YES", IF(DX53="NO","Discharge", "Charge"),DX41&gt;0,"Charge",DX41+DX44=0,"Idle")</f>
        <v>Discharge</v>
      </c>
      <c r="DY51" s="90" t="str" cm="1">
        <f t="array" ref="DY51">_xlfn.IFS(DY52="YES", IF(DY53="NO","Discharge", "Charge"),DY41&gt;0,"Charge",DY41+DY44=0,"Idle")</f>
        <v>Discharge</v>
      </c>
      <c r="DZ51" s="90" t="str" cm="1">
        <f t="array" ref="DZ51">_xlfn.IFS(DZ52="YES", IF(DZ53="NO","Discharge", "Charge"),DZ41&gt;0,"Charge",DZ41+DZ44=0,"Idle")</f>
        <v>Discharge</v>
      </c>
      <c r="EA51" s="90" t="str" cm="1">
        <f t="array" ref="EA51">_xlfn.IFS(EA52="YES", IF(EA53="NO","Discharge", "Charge"),EA41&gt;0,"Charge",EA41+EA44=0,"Idle")</f>
        <v>Discharge</v>
      </c>
      <c r="EB51" s="90" t="str" cm="1">
        <f t="array" ref="EB51">_xlfn.IFS(EB52="YES", IF(EB53="NO","Discharge", "Charge"),EB41&gt;0,"Charge",EB41+EB44=0,"Idle")</f>
        <v>Discharge</v>
      </c>
      <c r="EC51" s="90" t="str" cm="1">
        <f t="array" ref="EC51">_xlfn.IFS(EC52="YES", IF(EC53="NO","Discharge", "Charge"),EC41&gt;0,"Charge",EC41+EC44=0,"Idle")</f>
        <v>Discharge</v>
      </c>
      <c r="ED51" s="90" t="str" cm="1">
        <f t="array" ref="ED51">_xlfn.IFS(ED52="YES", IF(ED53="NO","Discharge", "Charge"),ED41&gt;0,"Charge",ED41+ED44=0,"Idle")</f>
        <v>Discharge</v>
      </c>
      <c r="EE51" s="90" t="str" cm="1">
        <f t="array" ref="EE51">_xlfn.IFS(EE52="YES", IF(EE53="NO","Discharge", "Charge"),EE41&gt;0,"Charge",EE41+EE44=0,"Idle")</f>
        <v>Discharge</v>
      </c>
      <c r="EF51" s="90" t="str" cm="1">
        <f t="array" ref="EF51">_xlfn.IFS(EF52="YES", IF(EF53="NO","Discharge", "Charge"),EF41&gt;0,"Charge",EF41+EF44=0,"Idle")</f>
        <v>Discharge</v>
      </c>
      <c r="EG51" s="90" t="str" cm="1">
        <f t="array" ref="EG51">_xlfn.IFS(EG52="YES", IF(EG53="NO","Discharge", "Charge"),EG41&gt;0,"Charge",EG41+EG44=0,"Idle")</f>
        <v>Discharge</v>
      </c>
      <c r="EH51" s="90" t="str" cm="1">
        <f t="array" ref="EH51">_xlfn.IFS(EH52="YES", IF(EH53="NO","Discharge", "Charge"),EH41&gt;0,"Charge",EH41+EH44=0,"Idle")</f>
        <v>Discharge</v>
      </c>
      <c r="EI51" s="90" t="str" cm="1">
        <f t="array" ref="EI51">_xlfn.IFS(EI52="YES", IF(EI53="NO","Discharge", "Charge"),EI41&gt;0,"Charge",EI41+EI44=0,"Idle")</f>
        <v>Discharge</v>
      </c>
      <c r="EJ51" s="90" t="str" cm="1">
        <f t="array" ref="EJ51">_xlfn.IFS(EJ52="YES", IF(EJ53="NO","Discharge", "Charge"),EJ41&gt;0,"Charge",EJ41+EJ44=0,"Idle")</f>
        <v>Discharge</v>
      </c>
      <c r="EK51" s="90" t="str" cm="1">
        <f t="array" ref="EK51">_xlfn.IFS(EK52="YES", IF(EK53="NO","Discharge", "Charge"),EK41&gt;0,"Charge",EK41+EK44=0,"Idle")</f>
        <v>Discharge</v>
      </c>
      <c r="EL51" s="1" t="s">
        <v>139</v>
      </c>
      <c r="EN51" s="90"/>
      <c r="EO51" s="90" t="str" cm="1">
        <f t="array" ref="EO51">_xlfn.IFS(EO52="YES", IF(EO53="NO","Discharge", "Charge"),EO41&gt;0,"Charge",EO41+EO44=0,"Idle")</f>
        <v>Charge</v>
      </c>
      <c r="EP51" s="90" t="str" cm="1">
        <f t="array" ref="EP51">_xlfn.IFS(EP52="YES", IF(EP53="NO","Discharge", "Charge"),EP41&gt;0,"Charge",EP41+EP44=0,"Idle")</f>
        <v>Discharge</v>
      </c>
      <c r="EQ51" s="90" t="str" cm="1">
        <f t="array" ref="EQ51">_xlfn.IFS(EQ52="YES", IF(EQ53="NO","Discharge", "Charge"),EQ41&gt;0,"Charge",EQ41+EQ44=0,"Idle")</f>
        <v>Discharge</v>
      </c>
      <c r="ER51" s="90" t="str" cm="1">
        <f t="array" ref="ER51">_xlfn.IFS(ER52="YES", IF(ER53="NO","Discharge", "Charge"),ER41&gt;0,"Charge",ER41+ER44=0,"Idle")</f>
        <v>Discharge</v>
      </c>
      <c r="ES51" s="90" t="str" cm="1">
        <f t="array" ref="ES51">_xlfn.IFS(ES52="YES", IF(ES53="NO","Discharge", "Charge"),ES41&gt;0,"Charge",ES41+ES44=0,"Idle")</f>
        <v>Discharge</v>
      </c>
      <c r="ET51" s="90" t="str" cm="1">
        <f t="array" ref="ET51">_xlfn.IFS(ET52="YES", IF(ET53="NO","Discharge", "Charge"),ET41&gt;0,"Charge",ET41+ET44=0,"Idle")</f>
        <v>Discharge</v>
      </c>
      <c r="EU51" s="90" t="str" cm="1">
        <f t="array" ref="EU51">_xlfn.IFS(EU52="YES", IF(EU53="NO","Discharge", "Charge"),EU41&gt;0,"Charge",EU41+EU44=0,"Idle")</f>
        <v>Discharge</v>
      </c>
      <c r="EV51" s="90" t="str" cm="1">
        <f t="array" ref="EV51">_xlfn.IFS(EV52="YES", IF(EV53="NO","Discharge", "Charge"),EV41&gt;0,"Charge",EV41+EV44=0,"Idle")</f>
        <v>Charge</v>
      </c>
      <c r="EW51" s="90" t="str" cm="1">
        <f t="array" ref="EW51">_xlfn.IFS(EW52="YES", IF(EW53="NO","Discharge", "Charge"),EW41&gt;0,"Charge",EW41+EW44=0,"Idle")</f>
        <v>Discharge</v>
      </c>
      <c r="EX51" s="90" t="str" cm="1">
        <f t="array" ref="EX51">_xlfn.IFS(EX52="YES", IF(EX53="NO","Discharge", "Charge"),EX41&gt;0,"Charge",EX41+EX44=0,"Idle")</f>
        <v>Discharge</v>
      </c>
      <c r="EY51" s="90" t="str" cm="1">
        <f t="array" ref="EY51">_xlfn.IFS(EY52="YES", IF(EY53="NO","Discharge", "Charge"),EY41&gt;0,"Charge",EY41+EY44=0,"Idle")</f>
        <v>Discharge</v>
      </c>
      <c r="EZ51" s="90" t="str" cm="1">
        <f t="array" ref="EZ51">_xlfn.IFS(EZ52="YES", IF(EZ53="NO","Discharge", "Charge"),EZ41&gt;0,"Charge",EZ41+EZ44=0,"Idle")</f>
        <v>Discharge</v>
      </c>
      <c r="FA51" s="90" t="str" cm="1">
        <f t="array" ref="FA51">_xlfn.IFS(FA52="YES", IF(FA53="NO","Discharge", "Charge"),FA41&gt;0,"Charge",FA41+FA44=0,"Idle")</f>
        <v>Discharge</v>
      </c>
      <c r="FB51" s="90" t="str" cm="1">
        <f t="array" ref="FB51">_xlfn.IFS(FB52="YES", IF(FB53="NO","Discharge", "Charge"),FB41&gt;0,"Charge",FB41+FB44=0,"Idle")</f>
        <v>Discharge</v>
      </c>
      <c r="FC51" s="90" t="str" cm="1">
        <f t="array" ref="FC51">_xlfn.IFS(FC52="YES", IF(FC53="NO","Discharge", "Charge"),FC41&gt;0,"Charge",FC41+FC44=0,"Idle")</f>
        <v>Discharge</v>
      </c>
      <c r="FD51" s="90" t="str" cm="1">
        <f t="array" ref="FD51">_xlfn.IFS(FD52="YES", IF(FD53="NO","Discharge", "Charge"),FD41&gt;0,"Charge",FD41+FD44=0,"Idle")</f>
        <v>Discharge</v>
      </c>
      <c r="FE51" s="90" t="str" cm="1">
        <f t="array" ref="FE51">_xlfn.IFS(FE52="YES", IF(FE53="NO","Discharge", "Charge"),FE41&gt;0,"Charge",FE41+FE44=0,"Idle")</f>
        <v>Charge</v>
      </c>
      <c r="FF51" s="90" t="str" cm="1">
        <f t="array" ref="FF51">_xlfn.IFS(FF52="YES", IF(FF53="NO","Discharge", "Charge"),FF41&gt;0,"Charge",FF41+FF44=0,"Idle")</f>
        <v>Discharge</v>
      </c>
      <c r="FG51" s="90" t="str" cm="1">
        <f t="array" ref="FG51">_xlfn.IFS(FG52="YES", IF(FG53="NO","Discharge", "Charge"),FG41&gt;0,"Charge",FG41+FG44=0,"Idle")</f>
        <v>Discharge</v>
      </c>
      <c r="FH51" s="90" t="str" cm="1">
        <f t="array" ref="FH51">_xlfn.IFS(FH52="YES", IF(FH53="NO","Discharge", "Charge"),FH41&gt;0,"Charge",FH41+FH44=0,"Idle")</f>
        <v>Discharge</v>
      </c>
      <c r="FI51" s="90" t="str" cm="1">
        <f t="array" ref="FI51">_xlfn.IFS(FI52="YES", IF(FI53="NO","Discharge", "Charge"),FI41&gt;0,"Charge",FI41+FI44=0,"Idle")</f>
        <v>Discharge</v>
      </c>
      <c r="FJ51" s="90" t="str" cm="1">
        <f t="array" ref="FJ51">_xlfn.IFS(FJ52="YES", IF(FJ53="NO","Discharge", "Charge"),FJ41&gt;0,"Charge",FJ41+FJ44=0,"Idle")</f>
        <v>Discharge</v>
      </c>
      <c r="FK51" s="90" t="str" cm="1">
        <f t="array" ref="FK51">_xlfn.IFS(FK52="YES", IF(FK53="NO","Discharge", "Charge"),FK41&gt;0,"Charge",FK41+FK44=0,"Idle")</f>
        <v>Discharge</v>
      </c>
    </row>
    <row r="52" spans="2:167" x14ac:dyDescent="0.25">
      <c r="B52" s="37"/>
      <c r="J52" s="38"/>
      <c r="L52" s="1" t="s">
        <v>185</v>
      </c>
      <c r="O52" s="48" t="str">
        <f>IF(O44&gt;0,"YES", "NO")</f>
        <v>NO</v>
      </c>
      <c r="P52" s="48" t="str">
        <f t="shared" ref="P52:AK52" si="608">IF(P44&gt;0,"YES", "NO")</f>
        <v>NO</v>
      </c>
      <c r="Q52" s="48" t="str">
        <f t="shared" si="608"/>
        <v>NO</v>
      </c>
      <c r="R52" s="48" t="str">
        <f t="shared" si="608"/>
        <v>NO</v>
      </c>
      <c r="S52" s="48" t="str">
        <f t="shared" si="608"/>
        <v>YES</v>
      </c>
      <c r="T52" s="48" t="str">
        <f t="shared" si="608"/>
        <v>YES</v>
      </c>
      <c r="U52" s="48" t="str">
        <f t="shared" si="608"/>
        <v>YES</v>
      </c>
      <c r="V52" s="48" t="str">
        <f t="shared" si="608"/>
        <v>YES</v>
      </c>
      <c r="W52" s="48" t="str">
        <f t="shared" si="608"/>
        <v>YES</v>
      </c>
      <c r="X52" s="48" t="str">
        <f t="shared" si="608"/>
        <v>YES</v>
      </c>
      <c r="Y52" s="48" t="str">
        <f t="shared" si="608"/>
        <v>YES</v>
      </c>
      <c r="Z52" s="48" t="str">
        <f t="shared" si="608"/>
        <v>YES</v>
      </c>
      <c r="AA52" s="48" t="str">
        <f t="shared" si="608"/>
        <v>YES</v>
      </c>
      <c r="AB52" s="48" t="str">
        <f t="shared" si="608"/>
        <v>YES</v>
      </c>
      <c r="AC52" s="48" t="str">
        <f t="shared" si="608"/>
        <v>YES</v>
      </c>
      <c r="AD52" s="48" t="str">
        <f t="shared" si="608"/>
        <v>YES</v>
      </c>
      <c r="AE52" s="48" t="str">
        <f t="shared" si="608"/>
        <v>YES</v>
      </c>
      <c r="AF52" s="48" t="str">
        <f t="shared" si="608"/>
        <v>YES</v>
      </c>
      <c r="AG52" s="48" t="str">
        <f t="shared" si="608"/>
        <v>YES</v>
      </c>
      <c r="AH52" s="48" t="str">
        <f t="shared" si="608"/>
        <v>YES</v>
      </c>
      <c r="AI52" s="48" t="str">
        <f t="shared" si="608"/>
        <v>YES</v>
      </c>
      <c r="AJ52" s="48" t="str">
        <f t="shared" si="608"/>
        <v>NO</v>
      </c>
      <c r="AK52" s="48" t="str">
        <f t="shared" si="608"/>
        <v>NO</v>
      </c>
      <c r="AL52" s="1" t="s">
        <v>185</v>
      </c>
      <c r="AO52" s="48" t="str">
        <f>IF(AO44&gt;0,"YES", "NO")</f>
        <v>NO</v>
      </c>
      <c r="AP52" s="48" t="str">
        <f t="shared" ref="AP52:BK52" si="609">IF(AP44&gt;0,"YES", "NO")</f>
        <v>NO</v>
      </c>
      <c r="AQ52" s="48" t="str">
        <f t="shared" si="609"/>
        <v>NO</v>
      </c>
      <c r="AR52" s="48" t="str">
        <f t="shared" si="609"/>
        <v>NO</v>
      </c>
      <c r="AS52" s="48" t="str">
        <f t="shared" si="609"/>
        <v>YES</v>
      </c>
      <c r="AT52" s="48" t="str">
        <f t="shared" si="609"/>
        <v>YES</v>
      </c>
      <c r="AU52" s="48" t="str">
        <f t="shared" si="609"/>
        <v>YES</v>
      </c>
      <c r="AV52" s="48" t="str">
        <f t="shared" si="609"/>
        <v>YES</v>
      </c>
      <c r="AW52" s="48" t="str">
        <f t="shared" si="609"/>
        <v>YES</v>
      </c>
      <c r="AX52" s="48" t="str">
        <f t="shared" si="609"/>
        <v>YES</v>
      </c>
      <c r="AY52" s="48" t="str">
        <f t="shared" si="609"/>
        <v>YES</v>
      </c>
      <c r="AZ52" s="48" t="str">
        <f t="shared" si="609"/>
        <v>YES</v>
      </c>
      <c r="BA52" s="48" t="str">
        <f t="shared" si="609"/>
        <v>YES</v>
      </c>
      <c r="BB52" s="48" t="str">
        <f t="shared" si="609"/>
        <v>YES</v>
      </c>
      <c r="BC52" s="48" t="str">
        <f t="shared" si="609"/>
        <v>YES</v>
      </c>
      <c r="BD52" s="48" t="str">
        <f t="shared" si="609"/>
        <v>YES</v>
      </c>
      <c r="BE52" s="48" t="str">
        <f t="shared" si="609"/>
        <v>YES</v>
      </c>
      <c r="BF52" s="48" t="str">
        <f t="shared" si="609"/>
        <v>YES</v>
      </c>
      <c r="BG52" s="48" t="str">
        <f t="shared" si="609"/>
        <v>YES</v>
      </c>
      <c r="BH52" s="48" t="str">
        <f t="shared" si="609"/>
        <v>YES</v>
      </c>
      <c r="BI52" s="48" t="str">
        <f t="shared" si="609"/>
        <v>YES</v>
      </c>
      <c r="BJ52" s="48" t="str">
        <f t="shared" si="609"/>
        <v>YES</v>
      </c>
      <c r="BK52" s="48" t="str">
        <f t="shared" si="609"/>
        <v>YES</v>
      </c>
      <c r="BL52" s="1" t="s">
        <v>185</v>
      </c>
      <c r="BO52" s="48" t="str">
        <f>IF(BO44&gt;0,"YES", "NO")</f>
        <v>NO</v>
      </c>
      <c r="BP52" s="48" t="str">
        <f t="shared" ref="BP52:CK52" si="610">IF(BP44&gt;0,"YES", "NO")</f>
        <v>NO</v>
      </c>
      <c r="BQ52" s="48" t="str">
        <f t="shared" si="610"/>
        <v>NO</v>
      </c>
      <c r="BR52" s="48" t="str">
        <f t="shared" si="610"/>
        <v>NO</v>
      </c>
      <c r="BS52" s="48" t="str">
        <f t="shared" si="610"/>
        <v>YES</v>
      </c>
      <c r="BT52" s="48" t="str">
        <f t="shared" si="610"/>
        <v>YES</v>
      </c>
      <c r="BU52" s="48" t="str">
        <f t="shared" si="610"/>
        <v>YES</v>
      </c>
      <c r="BV52" s="48" t="str">
        <f t="shared" si="610"/>
        <v>YES</v>
      </c>
      <c r="BW52" s="48" t="str">
        <f t="shared" si="610"/>
        <v>YES</v>
      </c>
      <c r="BX52" s="48" t="str">
        <f t="shared" si="610"/>
        <v>YES</v>
      </c>
      <c r="BY52" s="48" t="str">
        <f t="shared" si="610"/>
        <v>YES</v>
      </c>
      <c r="BZ52" s="48" t="str">
        <f t="shared" si="610"/>
        <v>YES</v>
      </c>
      <c r="CA52" s="48" t="str">
        <f t="shared" si="610"/>
        <v>YES</v>
      </c>
      <c r="CB52" s="48" t="str">
        <f t="shared" si="610"/>
        <v>YES</v>
      </c>
      <c r="CC52" s="48" t="str">
        <f t="shared" si="610"/>
        <v>YES</v>
      </c>
      <c r="CD52" s="48" t="str">
        <f t="shared" si="610"/>
        <v>YES</v>
      </c>
      <c r="CE52" s="48" t="str">
        <f t="shared" si="610"/>
        <v>YES</v>
      </c>
      <c r="CF52" s="48" t="str">
        <f t="shared" si="610"/>
        <v>YES</v>
      </c>
      <c r="CG52" s="48" t="str">
        <f t="shared" si="610"/>
        <v>YES</v>
      </c>
      <c r="CH52" s="48" t="str">
        <f t="shared" si="610"/>
        <v>YES</v>
      </c>
      <c r="CI52" s="48" t="str">
        <f t="shared" si="610"/>
        <v>YES</v>
      </c>
      <c r="CJ52" s="48" t="str">
        <f t="shared" si="610"/>
        <v>YES</v>
      </c>
      <c r="CK52" s="48" t="str">
        <f t="shared" si="610"/>
        <v>NO</v>
      </c>
      <c r="CL52" s="1" t="s">
        <v>185</v>
      </c>
      <c r="CO52" s="48" t="str">
        <f>IF(CO44&gt;0,"YES", "NO")</f>
        <v>NO</v>
      </c>
      <c r="CP52" s="48" t="str">
        <f t="shared" ref="CP52:DK52" si="611">IF(CP44&gt;0,"YES", "NO")</f>
        <v>NO</v>
      </c>
      <c r="CQ52" s="48" t="str">
        <f t="shared" si="611"/>
        <v>NO</v>
      </c>
      <c r="CR52" s="48" t="str">
        <f t="shared" si="611"/>
        <v>YES</v>
      </c>
      <c r="CS52" s="48" t="str">
        <f t="shared" si="611"/>
        <v>YES</v>
      </c>
      <c r="CT52" s="48" t="str">
        <f t="shared" si="611"/>
        <v>YES</v>
      </c>
      <c r="CU52" s="48" t="str">
        <f t="shared" si="611"/>
        <v>YES</v>
      </c>
      <c r="CV52" s="48" t="str">
        <f t="shared" si="611"/>
        <v>YES</v>
      </c>
      <c r="CW52" s="48" t="str">
        <f t="shared" si="611"/>
        <v>YES</v>
      </c>
      <c r="CX52" s="48" t="str">
        <f t="shared" si="611"/>
        <v>YES</v>
      </c>
      <c r="CY52" s="48" t="str">
        <f t="shared" si="611"/>
        <v>YES</v>
      </c>
      <c r="CZ52" s="48" t="str">
        <f t="shared" si="611"/>
        <v>YES</v>
      </c>
      <c r="DA52" s="48" t="str">
        <f t="shared" si="611"/>
        <v>YES</v>
      </c>
      <c r="DB52" s="48" t="str">
        <f t="shared" si="611"/>
        <v>YES</v>
      </c>
      <c r="DC52" s="48" t="str">
        <f t="shared" si="611"/>
        <v>YES</v>
      </c>
      <c r="DD52" s="48" t="str">
        <f t="shared" si="611"/>
        <v>YES</v>
      </c>
      <c r="DE52" s="48" t="str">
        <f t="shared" si="611"/>
        <v>YES</v>
      </c>
      <c r="DF52" s="48" t="str">
        <f t="shared" si="611"/>
        <v>YES</v>
      </c>
      <c r="DG52" s="48" t="str">
        <f t="shared" si="611"/>
        <v>YES</v>
      </c>
      <c r="DH52" s="48" t="str">
        <f t="shared" si="611"/>
        <v>YES</v>
      </c>
      <c r="DI52" s="48" t="str">
        <f t="shared" si="611"/>
        <v>YES</v>
      </c>
      <c r="DJ52" s="48" t="str">
        <f t="shared" si="611"/>
        <v>YES</v>
      </c>
      <c r="DK52" s="48" t="str">
        <f t="shared" si="611"/>
        <v>YES</v>
      </c>
      <c r="DL52" s="1" t="s">
        <v>185</v>
      </c>
      <c r="DO52" s="48" t="str">
        <f>IF(DO44&gt;0,"YES", "NO")</f>
        <v>NO</v>
      </c>
      <c r="DP52" s="48" t="str">
        <f t="shared" ref="DP52:EK52" si="612">IF(DP44&gt;0,"YES", "NO")</f>
        <v>NO</v>
      </c>
      <c r="DQ52" s="48" t="str">
        <f t="shared" si="612"/>
        <v>NO</v>
      </c>
      <c r="DR52" s="48" t="str">
        <f t="shared" si="612"/>
        <v>YES</v>
      </c>
      <c r="DS52" s="48" t="str">
        <f t="shared" si="612"/>
        <v>YES</v>
      </c>
      <c r="DT52" s="48" t="str">
        <f t="shared" si="612"/>
        <v>YES</v>
      </c>
      <c r="DU52" s="48" t="str">
        <f t="shared" si="612"/>
        <v>YES</v>
      </c>
      <c r="DV52" s="48" t="str">
        <f t="shared" si="612"/>
        <v>YES</v>
      </c>
      <c r="DW52" s="48" t="str">
        <f t="shared" si="612"/>
        <v>YES</v>
      </c>
      <c r="DX52" s="48" t="str">
        <f t="shared" si="612"/>
        <v>YES</v>
      </c>
      <c r="DY52" s="48" t="str">
        <f t="shared" si="612"/>
        <v>YES</v>
      </c>
      <c r="DZ52" s="48" t="str">
        <f t="shared" si="612"/>
        <v>YES</v>
      </c>
      <c r="EA52" s="48" t="str">
        <f t="shared" si="612"/>
        <v>YES</v>
      </c>
      <c r="EB52" s="48" t="str">
        <f t="shared" si="612"/>
        <v>YES</v>
      </c>
      <c r="EC52" s="48" t="str">
        <f t="shared" si="612"/>
        <v>YES</v>
      </c>
      <c r="ED52" s="48" t="str">
        <f t="shared" si="612"/>
        <v>YES</v>
      </c>
      <c r="EE52" s="48" t="str">
        <f t="shared" si="612"/>
        <v>YES</v>
      </c>
      <c r="EF52" s="48" t="str">
        <f t="shared" si="612"/>
        <v>YES</v>
      </c>
      <c r="EG52" s="48" t="str">
        <f t="shared" si="612"/>
        <v>YES</v>
      </c>
      <c r="EH52" s="48" t="str">
        <f t="shared" si="612"/>
        <v>YES</v>
      </c>
      <c r="EI52" s="48" t="str">
        <f t="shared" si="612"/>
        <v>YES</v>
      </c>
      <c r="EJ52" s="48" t="str">
        <f t="shared" si="612"/>
        <v>YES</v>
      </c>
      <c r="EK52" s="48" t="str">
        <f t="shared" si="612"/>
        <v>YES</v>
      </c>
      <c r="EL52" s="1" t="s">
        <v>185</v>
      </c>
      <c r="EO52" s="48" t="str">
        <f>IF(EO44&gt;0,"YES", "NO")</f>
        <v>YES</v>
      </c>
      <c r="EP52" s="48" t="str">
        <f t="shared" ref="EP52:FK52" si="613">IF(EP44&gt;0,"YES", "NO")</f>
        <v>YES</v>
      </c>
      <c r="EQ52" s="48" t="str">
        <f t="shared" si="613"/>
        <v>YES</v>
      </c>
      <c r="ER52" s="48" t="str">
        <f t="shared" si="613"/>
        <v>YES</v>
      </c>
      <c r="ES52" s="48" t="str">
        <f t="shared" si="613"/>
        <v>YES</v>
      </c>
      <c r="ET52" s="48" t="str">
        <f t="shared" si="613"/>
        <v>YES</v>
      </c>
      <c r="EU52" s="48" t="str">
        <f t="shared" si="613"/>
        <v>YES</v>
      </c>
      <c r="EV52" s="48" t="str">
        <f t="shared" si="613"/>
        <v>YES</v>
      </c>
      <c r="EW52" s="48" t="str">
        <f t="shared" si="613"/>
        <v>YES</v>
      </c>
      <c r="EX52" s="48" t="str">
        <f t="shared" si="613"/>
        <v>YES</v>
      </c>
      <c r="EY52" s="48" t="str">
        <f t="shared" si="613"/>
        <v>YES</v>
      </c>
      <c r="EZ52" s="48" t="str">
        <f t="shared" si="613"/>
        <v>YES</v>
      </c>
      <c r="FA52" s="48" t="str">
        <f t="shared" si="613"/>
        <v>YES</v>
      </c>
      <c r="FB52" s="48" t="str">
        <f t="shared" si="613"/>
        <v>YES</v>
      </c>
      <c r="FC52" s="48" t="str">
        <f t="shared" si="613"/>
        <v>YES</v>
      </c>
      <c r="FD52" s="48" t="str">
        <f t="shared" si="613"/>
        <v>YES</v>
      </c>
      <c r="FE52" s="48" t="str">
        <f t="shared" si="613"/>
        <v>YES</v>
      </c>
      <c r="FF52" s="48" t="str">
        <f t="shared" si="613"/>
        <v>YES</v>
      </c>
      <c r="FG52" s="48" t="str">
        <f t="shared" si="613"/>
        <v>YES</v>
      </c>
      <c r="FH52" s="48" t="str">
        <f t="shared" si="613"/>
        <v>YES</v>
      </c>
      <c r="FI52" s="48" t="str">
        <f t="shared" si="613"/>
        <v>YES</v>
      </c>
      <c r="FJ52" s="48" t="str">
        <f t="shared" si="613"/>
        <v>YES</v>
      </c>
      <c r="FK52" s="48" t="str">
        <f t="shared" si="613"/>
        <v>YES</v>
      </c>
    </row>
    <row r="53" spans="2:167" x14ac:dyDescent="0.25">
      <c r="B53" s="37"/>
      <c r="J53" s="38"/>
      <c r="L53" s="1" t="s">
        <v>184</v>
      </c>
      <c r="O53" s="48" t="str">
        <f t="shared" ref="O53" si="614">IF(O52="NO",IF(N46+O41&gt;$E27*$E23,"YES", "NO"), IF(N46-(O44-O41)&lt;$E28*$E23,"YES","NO"))</f>
        <v>NO</v>
      </c>
      <c r="P53" s="48" t="str">
        <f t="shared" ref="P53" si="615">IF(P52="NO",IF(O46+P41&gt;$E27*$E23,"YES", "NO"), IF(O46-(P44-P41)&lt;$E28*$E23,"YES","NO"))</f>
        <v>NO</v>
      </c>
      <c r="Q53" s="48" t="str">
        <f t="shared" ref="Q53" si="616">IF(Q52="NO",IF(P46+Q41&gt;$E27*$E23,"YES", "NO"), IF(P46-(Q44-Q41)&lt;$E28*$E23,"YES","NO"))</f>
        <v>NO</v>
      </c>
      <c r="R53" s="48" t="str">
        <f t="shared" ref="R53" si="617">IF(R52="NO",IF(Q46+R41&gt;$E27*$E23,"YES", "NO"), IF(Q46-(R44-R41)&lt;$E28*$E23,"YES","NO"))</f>
        <v>NO</v>
      </c>
      <c r="S53" s="48" t="str">
        <f t="shared" ref="S53" si="618">IF(S52="NO",IF(R46+S41&gt;$E27*$E23,"YES", "NO"), IF(R46-(S44-S41)&lt;$E28*$E23,"YES","NO"))</f>
        <v>NO</v>
      </c>
      <c r="T53" s="48" t="str">
        <f t="shared" ref="T53" si="619">IF(T52="NO",IF(S46+T41&gt;$E27*$E23,"YES", "NO"), IF(S46-(T44-T41)&lt;$E28*$E23,"YES","NO"))</f>
        <v>NO</v>
      </c>
      <c r="U53" s="48" t="str">
        <f t="shared" ref="U53" si="620">IF(U52="NO",IF(T46+U41&gt;$E27*$E23,"YES", "NO"), IF(T46-(U44-U41)&lt;$E28*$E23,"YES","NO"))</f>
        <v>NO</v>
      </c>
      <c r="V53" s="48" t="str">
        <f t="shared" ref="V53" si="621">IF(V52="NO",IF(U46+V41&gt;$E27*$E23,"YES", "NO"), IF(U46-(V44-V41)&lt;$E28*$E23,"YES","NO"))</f>
        <v>NO</v>
      </c>
      <c r="W53" s="48" t="str">
        <f t="shared" ref="W53" si="622">IF(W52="NO",IF(V46+W41&gt;$E27*$E23,"YES", "NO"), IF(V46-(W44-W41)&lt;$E28*$E23,"YES","NO"))</f>
        <v>NO</v>
      </c>
      <c r="X53" s="48" t="str">
        <f t="shared" ref="X53" si="623">IF(X52="NO",IF(W46+X41&gt;$E27*$E23,"YES", "NO"), IF(W46-(X44-X41)&lt;$E28*$E23,"YES","NO"))</f>
        <v>NO</v>
      </c>
      <c r="Y53" s="48" t="str">
        <f t="shared" ref="Y53" si="624">IF(Y52="NO",IF(X46+Y41&gt;$E27*$E23,"YES", "NO"), IF(X46-(Y44-Y41)&lt;$E28*$E23,"YES","NO"))</f>
        <v>NO</v>
      </c>
      <c r="Z53" s="48" t="str">
        <f t="shared" ref="Z53" si="625">IF(Z52="NO",IF(Y46+Z41&gt;$E27*$E23,"YES", "NO"), IF(Y46-(Z44-Z41)&lt;$E28*$E23,"YES","NO"))</f>
        <v>NO</v>
      </c>
      <c r="AA53" s="48" t="str">
        <f t="shared" ref="AA53" si="626">IF(AA52="NO",IF(Z46+AA41&gt;$E27*$E23,"YES", "NO"), IF(Z46-(AA44-AA41)&lt;$E28*$E23,"YES","NO"))</f>
        <v>NO</v>
      </c>
      <c r="AB53" s="48" t="str">
        <f t="shared" ref="AB53" si="627">IF(AB52="NO",IF(AA46+AB41&gt;$E27*$E23,"YES", "NO"), IF(AA46-(AB44-AB41)&lt;$E28*$E23,"YES","NO"))</f>
        <v>NO</v>
      </c>
      <c r="AC53" s="48" t="str">
        <f t="shared" ref="AC53" si="628">IF(AC52="NO",IF(AB46+AC41&gt;$E27*$E23,"YES", "NO"), IF(AB46-(AC44-AC41)&lt;$E28*$E23,"YES","NO"))</f>
        <v>NO</v>
      </c>
      <c r="AD53" s="48" t="str">
        <f t="shared" ref="AD53" si="629">IF(AD52="NO",IF(AC46+AD41&gt;$E27*$E23,"YES", "NO"), IF(AC46-(AD44-AD41)&lt;$E28*$E23,"YES","NO"))</f>
        <v>NO</v>
      </c>
      <c r="AE53" s="48" t="str">
        <f t="shared" ref="AE53" si="630">IF(AE52="NO",IF(AD46+AE41&gt;$E27*$E23,"YES", "NO"), IF(AD46-(AE44-AE41)&lt;$E28*$E23,"YES","NO"))</f>
        <v>NO</v>
      </c>
      <c r="AF53" s="48" t="str">
        <f t="shared" ref="AF53" si="631">IF(AF52="NO",IF(AE46+AF41&gt;$E27*$E23,"YES", "NO"), IF(AE46-(AF44-AF41)&lt;$E28*$E23,"YES","NO"))</f>
        <v>NO</v>
      </c>
      <c r="AG53" s="48" t="str">
        <f t="shared" ref="AG53" si="632">IF(AG52="NO",IF(AF46+AG41&gt;$E27*$E23,"YES", "NO"), IF(AF46-(AG44-AG41)&lt;$E28*$E23,"YES","NO"))</f>
        <v>NO</v>
      </c>
      <c r="AH53" s="48" t="str">
        <f t="shared" ref="AH53" si="633">IF(AH52="NO",IF(AG46+AH41&gt;$E27*$E23,"YES", "NO"), IF(AG46-(AH44-AH41)&lt;$E28*$E23,"YES","NO"))</f>
        <v>NO</v>
      </c>
      <c r="AI53" s="48" t="str">
        <f t="shared" ref="AI53" si="634">IF(AI52="NO",IF(AH46+AI41&gt;$E27*$E23,"YES", "NO"), IF(AH46-(AI44-AI41)&lt;$E28*$E23,"YES","NO"))</f>
        <v>NO</v>
      </c>
      <c r="AJ53" s="48" t="str">
        <f>IF(AJ52="NO",IF(AI46+AJ41&gt;$E27*$E23,"YES", "NO"), IF(AI46-(AJ44-AJ41)&lt;$E28*$E23,"YES","NO"))</f>
        <v>NO</v>
      </c>
      <c r="AK53" s="48" t="str">
        <f t="shared" ref="AK53" si="635">IF(AK52="NO",IF(AJ46+AK41&gt;$E27*$E23,"YES", "NO"), IF(AJ46-(AK44-AK41)&lt;$E28*$E23,"YES","NO"))</f>
        <v>NO</v>
      </c>
      <c r="AL53" s="1" t="s">
        <v>184</v>
      </c>
      <c r="AO53" s="48" t="str">
        <f t="shared" ref="AO53" si="636">IF(AO52="NO",IF(AN46+AO41&gt;$E27*$E23,"YES", "NO"), IF(AN46-(AO44-AO41)&lt;$E28*$E23,"YES","NO"))</f>
        <v>NO</v>
      </c>
      <c r="AP53" s="48" t="str">
        <f t="shared" ref="AP53" si="637">IF(AP52="NO",IF(AO46+AP41&gt;$E27*$E23,"YES", "NO"), IF(AO46-(AP44-AP41)&lt;$E28*$E23,"YES","NO"))</f>
        <v>NO</v>
      </c>
      <c r="AQ53" s="48" t="str">
        <f t="shared" ref="AQ53" si="638">IF(AQ52="NO",IF(AP46+AQ41&gt;$E27*$E23,"YES", "NO"), IF(AP46-(AQ44-AQ41)&lt;$E28*$E23,"YES","NO"))</f>
        <v>NO</v>
      </c>
      <c r="AR53" s="48" t="str">
        <f t="shared" ref="AR53" si="639">IF(AR52="NO",IF(AQ46+AR41&gt;$E27*$E23,"YES", "NO"), IF(AQ46-(AR44-AR41)&lt;$E28*$E23,"YES","NO"))</f>
        <v>NO</v>
      </c>
      <c r="AS53" s="48" t="str">
        <f t="shared" ref="AS53" si="640">IF(AS52="NO",IF(AR46+AS41&gt;$E27*$E23,"YES", "NO"), IF(AR46-(AS44-AS41)&lt;$E28*$E23,"YES","NO"))</f>
        <v>NO</v>
      </c>
      <c r="AT53" s="48" t="str">
        <f t="shared" ref="AT53" si="641">IF(AT52="NO",IF(AS46+AT41&gt;$E27*$E23,"YES", "NO"), IF(AS46-(AT44-AT41)&lt;$E28*$E23,"YES","NO"))</f>
        <v>NO</v>
      </c>
      <c r="AU53" s="48" t="str">
        <f t="shared" ref="AU53" si="642">IF(AU52="NO",IF(AT46+AU41&gt;$E27*$E23,"YES", "NO"), IF(AT46-(AU44-AU41)&lt;$E28*$E23,"YES","NO"))</f>
        <v>NO</v>
      </c>
      <c r="AV53" s="48" t="str">
        <f t="shared" ref="AV53" si="643">IF(AV52="NO",IF(AU46+AV41&gt;$E27*$E23,"YES", "NO"), IF(AU46-(AV44-AV41)&lt;$E28*$E23,"YES","NO"))</f>
        <v>NO</v>
      </c>
      <c r="AW53" s="48" t="str">
        <f t="shared" ref="AW53" si="644">IF(AW52="NO",IF(AV46+AW41&gt;$E27*$E23,"YES", "NO"), IF(AV46-(AW44-AW41)&lt;$E28*$E23,"YES","NO"))</f>
        <v>NO</v>
      </c>
      <c r="AX53" s="48" t="str">
        <f t="shared" ref="AX53" si="645">IF(AX52="NO",IF(AW46+AX41&gt;$E27*$E23,"YES", "NO"), IF(AW46-(AX44-AX41)&lt;$E28*$E23,"YES","NO"))</f>
        <v>NO</v>
      </c>
      <c r="AY53" s="48" t="str">
        <f t="shared" ref="AY53" si="646">IF(AY52="NO",IF(AX46+AY41&gt;$E27*$E23,"YES", "NO"), IF(AX46-(AY44-AY41)&lt;$E28*$E23,"YES","NO"))</f>
        <v>NO</v>
      </c>
      <c r="AZ53" s="48" t="str">
        <f t="shared" ref="AZ53" si="647">IF(AZ52="NO",IF(AY46+AZ41&gt;$E27*$E23,"YES", "NO"), IF(AY46-(AZ44-AZ41)&lt;$E28*$E23,"YES","NO"))</f>
        <v>NO</v>
      </c>
      <c r="BA53" s="48" t="str">
        <f t="shared" ref="BA53" si="648">IF(BA52="NO",IF(AZ46+BA41&gt;$E27*$E23,"YES", "NO"), IF(AZ46-(BA44-BA41)&lt;$E28*$E23,"YES","NO"))</f>
        <v>NO</v>
      </c>
      <c r="BB53" s="48" t="str">
        <f t="shared" ref="BB53" si="649">IF(BB52="NO",IF(BA46+BB41&gt;$E27*$E23,"YES", "NO"), IF(BA46-(BB44-BB41)&lt;$E28*$E23,"YES","NO"))</f>
        <v>NO</v>
      </c>
      <c r="BC53" s="48" t="str">
        <f t="shared" ref="BC53" si="650">IF(BC52="NO",IF(BB46+BC41&gt;$E27*$E23,"YES", "NO"), IF(BB46-(BC44-BC41)&lt;$E28*$E23,"YES","NO"))</f>
        <v>NO</v>
      </c>
      <c r="BD53" s="48" t="str">
        <f t="shared" ref="BD53" si="651">IF(BD52="NO",IF(BC46+BD41&gt;$E27*$E23,"YES", "NO"), IF(BC46-(BD44-BD41)&lt;$E28*$E23,"YES","NO"))</f>
        <v>NO</v>
      </c>
      <c r="BE53" s="48" t="str">
        <f t="shared" ref="BE53" si="652">IF(BE52="NO",IF(BD46+BE41&gt;$E27*$E23,"YES", "NO"), IF(BD46-(BE44-BE41)&lt;$E28*$E23,"YES","NO"))</f>
        <v>NO</v>
      </c>
      <c r="BF53" s="48" t="str">
        <f t="shared" ref="BF53" si="653">IF(BF52="NO",IF(BE46+BF41&gt;$E27*$E23,"YES", "NO"), IF(BE46-(BF44-BF41)&lt;$E28*$E23,"YES","NO"))</f>
        <v>NO</v>
      </c>
      <c r="BG53" s="48" t="str">
        <f t="shared" ref="BG53" si="654">IF(BG52="NO",IF(BF46+BG41&gt;$E27*$E23,"YES", "NO"), IF(BF46-(BG44-BG41)&lt;$E28*$E23,"YES","NO"))</f>
        <v>NO</v>
      </c>
      <c r="BH53" s="48" t="str">
        <f t="shared" ref="BH53" si="655">IF(BH52="NO",IF(BG46+BH41&gt;$E27*$E23,"YES", "NO"), IF(BG46-(BH44-BH41)&lt;$E28*$E23,"YES","NO"))</f>
        <v>NO</v>
      </c>
      <c r="BI53" s="48" t="str">
        <f t="shared" ref="BI53" si="656">IF(BI52="NO",IF(BH46+BI41&gt;$E27*$E23,"YES", "NO"), IF(BH46-(BI44-BI41)&lt;$E28*$E23,"YES","NO"))</f>
        <v>NO</v>
      </c>
      <c r="BJ53" s="48" t="str">
        <f>IF(BJ52="NO",IF(BI46+BJ41&gt;$E27*$E23,"YES", "NO"), IF(BI46-(BJ44-BJ41)&lt;$E28*$E23,"YES","NO"))</f>
        <v>NO</v>
      </c>
      <c r="BK53" s="48" t="str">
        <f t="shared" ref="BK53" si="657">IF(BK52="NO",IF(BJ46+BK41&gt;$E27*$E23,"YES", "NO"), IF(BJ46-(BK44-BK41)&lt;$E28*$E23,"YES","NO"))</f>
        <v>NO</v>
      </c>
      <c r="BL53" s="1" t="s">
        <v>184</v>
      </c>
      <c r="BO53" s="48" t="str">
        <f t="shared" ref="BO53" si="658">IF(BO52="NO",IF(BN46+BO41&gt;$E27*$E23,"YES", "NO"), IF(BN46-(BO44-BO41)&lt;$E28*$E23,"YES","NO"))</f>
        <v>NO</v>
      </c>
      <c r="BP53" s="48" t="str">
        <f t="shared" ref="BP53" si="659">IF(BP52="NO",IF(BO46+BP41&gt;$E27*$E23,"YES", "NO"), IF(BO46-(BP44-BP41)&lt;$E28*$E23,"YES","NO"))</f>
        <v>NO</v>
      </c>
      <c r="BQ53" s="48" t="str">
        <f t="shared" ref="BQ53" si="660">IF(BQ52="NO",IF(BP46+BQ41&gt;$E27*$E23,"YES", "NO"), IF(BP46-(BQ44-BQ41)&lt;$E28*$E23,"YES","NO"))</f>
        <v>NO</v>
      </c>
      <c r="BR53" s="48" t="str">
        <f t="shared" ref="BR53" si="661">IF(BR52="NO",IF(BQ46+BR41&gt;$E27*$E23,"YES", "NO"), IF(BQ46-(BR44-BR41)&lt;$E28*$E23,"YES","NO"))</f>
        <v>NO</v>
      </c>
      <c r="BS53" s="48" t="str">
        <f t="shared" ref="BS53" si="662">IF(BS52="NO",IF(BR46+BS41&gt;$E27*$E23,"YES", "NO"), IF(BR46-(BS44-BS41)&lt;$E28*$E23,"YES","NO"))</f>
        <v>NO</v>
      </c>
      <c r="BT53" s="48" t="str">
        <f t="shared" ref="BT53" si="663">IF(BT52="NO",IF(BS46+BT41&gt;$E27*$E23,"YES", "NO"), IF(BS46-(BT44-BT41)&lt;$E28*$E23,"YES","NO"))</f>
        <v>NO</v>
      </c>
      <c r="BU53" s="48" t="str">
        <f t="shared" ref="BU53" si="664">IF(BU52="NO",IF(BT46+BU41&gt;$E27*$E23,"YES", "NO"), IF(BT46-(BU44-BU41)&lt;$E28*$E23,"YES","NO"))</f>
        <v>NO</v>
      </c>
      <c r="BV53" s="48" t="str">
        <f t="shared" ref="BV53" si="665">IF(BV52="NO",IF(BU46+BV41&gt;$E27*$E23,"YES", "NO"), IF(BU46-(BV44-BV41)&lt;$E28*$E23,"YES","NO"))</f>
        <v>NO</v>
      </c>
      <c r="BW53" s="48" t="str">
        <f t="shared" ref="BW53" si="666">IF(BW52="NO",IF(BV46+BW41&gt;$E27*$E23,"YES", "NO"), IF(BV46-(BW44-BW41)&lt;$E28*$E23,"YES","NO"))</f>
        <v>NO</v>
      </c>
      <c r="BX53" s="48" t="str">
        <f t="shared" ref="BX53" si="667">IF(BX52="NO",IF(BW46+BX41&gt;$E27*$E23,"YES", "NO"), IF(BW46-(BX44-BX41)&lt;$E28*$E23,"YES","NO"))</f>
        <v>NO</v>
      </c>
      <c r="BY53" s="48" t="str">
        <f t="shared" ref="BY53" si="668">IF(BY52="NO",IF(BX46+BY41&gt;$E27*$E23,"YES", "NO"), IF(BX46-(BY44-BY41)&lt;$E28*$E23,"YES","NO"))</f>
        <v>NO</v>
      </c>
      <c r="BZ53" s="48" t="str">
        <f t="shared" ref="BZ53" si="669">IF(BZ52="NO",IF(BY46+BZ41&gt;$E27*$E23,"YES", "NO"), IF(BY46-(BZ44-BZ41)&lt;$E28*$E23,"YES","NO"))</f>
        <v>NO</v>
      </c>
      <c r="CA53" s="48" t="str">
        <f t="shared" ref="CA53" si="670">IF(CA52="NO",IF(BZ46+CA41&gt;$E27*$E23,"YES", "NO"), IF(BZ46-(CA44-CA41)&lt;$E28*$E23,"YES","NO"))</f>
        <v>NO</v>
      </c>
      <c r="CB53" s="48" t="str">
        <f t="shared" ref="CB53" si="671">IF(CB52="NO",IF(CA46+CB41&gt;$E27*$E23,"YES", "NO"), IF(CA46-(CB44-CB41)&lt;$E28*$E23,"YES","NO"))</f>
        <v>NO</v>
      </c>
      <c r="CC53" s="48" t="str">
        <f t="shared" ref="CC53" si="672">IF(CC52="NO",IF(CB46+CC41&gt;$E27*$E23,"YES", "NO"), IF(CB46-(CC44-CC41)&lt;$E28*$E23,"YES","NO"))</f>
        <v>NO</v>
      </c>
      <c r="CD53" s="48" t="str">
        <f t="shared" ref="CD53" si="673">IF(CD52="NO",IF(CC46+CD41&gt;$E27*$E23,"YES", "NO"), IF(CC46-(CD44-CD41)&lt;$E28*$E23,"YES","NO"))</f>
        <v>NO</v>
      </c>
      <c r="CE53" s="48" t="str">
        <f t="shared" ref="CE53" si="674">IF(CE52="NO",IF(CD46+CE41&gt;$E27*$E23,"YES", "NO"), IF(CD46-(CE44-CE41)&lt;$E28*$E23,"YES","NO"))</f>
        <v>NO</v>
      </c>
      <c r="CF53" s="48" t="str">
        <f t="shared" ref="CF53" si="675">IF(CF52="NO",IF(CE46+CF41&gt;$E27*$E23,"YES", "NO"), IF(CE46-(CF44-CF41)&lt;$E28*$E23,"YES","NO"))</f>
        <v>NO</v>
      </c>
      <c r="CG53" s="48" t="str">
        <f t="shared" ref="CG53" si="676">IF(CG52="NO",IF(CF46+CG41&gt;$E27*$E23,"YES", "NO"), IF(CF46-(CG44-CG41)&lt;$E28*$E23,"YES","NO"))</f>
        <v>NO</v>
      </c>
      <c r="CH53" s="48" t="str">
        <f t="shared" ref="CH53" si="677">IF(CH52="NO",IF(CG46+CH41&gt;$E27*$E23,"YES", "NO"), IF(CG46-(CH44-CH41)&lt;$E28*$E23,"YES","NO"))</f>
        <v>NO</v>
      </c>
      <c r="CI53" s="48" t="str">
        <f t="shared" ref="CI53" si="678">IF(CI52="NO",IF(CH46+CI41&gt;$E27*$E23,"YES", "NO"), IF(CH46-(CI44-CI41)&lt;$E28*$E23,"YES","NO"))</f>
        <v>NO</v>
      </c>
      <c r="CJ53" s="48" t="str">
        <f>IF(CJ52="NO",IF(CI46+CJ41&gt;$E27*$E23,"YES", "NO"), IF(CI46-(CJ44-CJ41)&lt;$E28*$E23,"YES","NO"))</f>
        <v>NO</v>
      </c>
      <c r="CK53" s="48" t="str">
        <f t="shared" ref="CK53" si="679">IF(CK52="NO",IF(CJ46+CK41&gt;$E27*$E23,"YES", "NO"), IF(CJ46-(CK44-CK41)&lt;$E28*$E23,"YES","NO"))</f>
        <v>NO</v>
      </c>
      <c r="CL53" s="1" t="s">
        <v>184</v>
      </c>
      <c r="CO53" s="48" t="str">
        <f t="shared" ref="CO53" si="680">IF(CO52="NO",IF(CN46+CO41&gt;$E27*$E23,"YES", "NO"), IF(CN46-(CO44-CO41)&lt;$E28*$E23,"YES","NO"))</f>
        <v>NO</v>
      </c>
      <c r="CP53" s="48" t="str">
        <f t="shared" ref="CP53" si="681">IF(CP52="NO",IF(CO46+CP41&gt;$E27*$E23,"YES", "NO"), IF(CO46-(CP44-CP41)&lt;$E28*$E23,"YES","NO"))</f>
        <v>NO</v>
      </c>
      <c r="CQ53" s="48" t="str">
        <f t="shared" ref="CQ53" si="682">IF(CQ52="NO",IF(CP46+CQ41&gt;$E27*$E23,"YES", "NO"), IF(CP46-(CQ44-CQ41)&lt;$E28*$E23,"YES","NO"))</f>
        <v>NO</v>
      </c>
      <c r="CR53" s="48" t="str">
        <f t="shared" ref="CR53" si="683">IF(CR52="NO",IF(CQ46+CR41&gt;$E27*$E23,"YES", "NO"), IF(CQ46-(CR44-CR41)&lt;$E28*$E23,"YES","NO"))</f>
        <v>NO</v>
      </c>
      <c r="CS53" s="48" t="str">
        <f t="shared" ref="CS53" si="684">IF(CS52="NO",IF(CR46+CS41&gt;$E27*$E23,"YES", "NO"), IF(CR46-(CS44-CS41)&lt;$E28*$E23,"YES","NO"))</f>
        <v>NO</v>
      </c>
      <c r="CT53" s="48" t="str">
        <f t="shared" ref="CT53" si="685">IF(CT52="NO",IF(CS46+CT41&gt;$E27*$E23,"YES", "NO"), IF(CS46-(CT44-CT41)&lt;$E28*$E23,"YES","NO"))</f>
        <v>NO</v>
      </c>
      <c r="CU53" s="48" t="str">
        <f t="shared" ref="CU53" si="686">IF(CU52="NO",IF(CT46+CU41&gt;$E27*$E23,"YES", "NO"), IF(CT46-(CU44-CU41)&lt;$E28*$E23,"YES","NO"))</f>
        <v>NO</v>
      </c>
      <c r="CV53" s="48" t="str">
        <f t="shared" ref="CV53" si="687">IF(CV52="NO",IF(CU46+CV41&gt;$E27*$E23,"YES", "NO"), IF(CU46-(CV44-CV41)&lt;$E28*$E23,"YES","NO"))</f>
        <v>NO</v>
      </c>
      <c r="CW53" s="48" t="str">
        <f t="shared" ref="CW53" si="688">IF(CW52="NO",IF(CV46+CW41&gt;$E27*$E23,"YES", "NO"), IF(CV46-(CW44-CW41)&lt;$E28*$E23,"YES","NO"))</f>
        <v>NO</v>
      </c>
      <c r="CX53" s="48" t="str">
        <f t="shared" ref="CX53" si="689">IF(CX52="NO",IF(CW46+CX41&gt;$E27*$E23,"YES", "NO"), IF(CW46-(CX44-CX41)&lt;$E28*$E23,"YES","NO"))</f>
        <v>NO</v>
      </c>
      <c r="CY53" s="48" t="str">
        <f t="shared" ref="CY53" si="690">IF(CY52="NO",IF(CX46+CY41&gt;$E27*$E23,"YES", "NO"), IF(CX46-(CY44-CY41)&lt;$E28*$E23,"YES","NO"))</f>
        <v>NO</v>
      </c>
      <c r="CZ53" s="48" t="str">
        <f t="shared" ref="CZ53" si="691">IF(CZ52="NO",IF(CY46+CZ41&gt;$E27*$E23,"YES", "NO"), IF(CY46-(CZ44-CZ41)&lt;$E28*$E23,"YES","NO"))</f>
        <v>NO</v>
      </c>
      <c r="DA53" s="48" t="str">
        <f t="shared" ref="DA53" si="692">IF(DA52="NO",IF(CZ46+DA41&gt;$E27*$E23,"YES", "NO"), IF(CZ46-(DA44-DA41)&lt;$E28*$E23,"YES","NO"))</f>
        <v>NO</v>
      </c>
      <c r="DB53" s="48" t="str">
        <f t="shared" ref="DB53" si="693">IF(DB52="NO",IF(DA46+DB41&gt;$E27*$E23,"YES", "NO"), IF(DA46-(DB44-DB41)&lt;$E28*$E23,"YES","NO"))</f>
        <v>NO</v>
      </c>
      <c r="DC53" s="48" t="str">
        <f t="shared" ref="DC53" si="694">IF(DC52="NO",IF(DB46+DC41&gt;$E27*$E23,"YES", "NO"), IF(DB46-(DC44-DC41)&lt;$E28*$E23,"YES","NO"))</f>
        <v>NO</v>
      </c>
      <c r="DD53" s="48" t="str">
        <f t="shared" ref="DD53" si="695">IF(DD52="NO",IF(DC46+DD41&gt;$E27*$E23,"YES", "NO"), IF(DC46-(DD44-DD41)&lt;$E28*$E23,"YES","NO"))</f>
        <v>NO</v>
      </c>
      <c r="DE53" s="48" t="str">
        <f t="shared" ref="DE53" si="696">IF(DE52="NO",IF(DD46+DE41&gt;$E27*$E23,"YES", "NO"), IF(DD46-(DE44-DE41)&lt;$E28*$E23,"YES","NO"))</f>
        <v>NO</v>
      </c>
      <c r="DF53" s="48" t="str">
        <f t="shared" ref="DF53" si="697">IF(DF52="NO",IF(DE46+DF41&gt;$E27*$E23,"YES", "NO"), IF(DE46-(DF44-DF41)&lt;$E28*$E23,"YES","NO"))</f>
        <v>NO</v>
      </c>
      <c r="DG53" s="48" t="str">
        <f t="shared" ref="DG53" si="698">IF(DG52="NO",IF(DF46+DG41&gt;$E27*$E23,"YES", "NO"), IF(DF46-(DG44-DG41)&lt;$E28*$E23,"YES","NO"))</f>
        <v>NO</v>
      </c>
      <c r="DH53" s="48" t="str">
        <f t="shared" ref="DH53" si="699">IF(DH52="NO",IF(DG46+DH41&gt;$E27*$E23,"YES", "NO"), IF(DG46-(DH44-DH41)&lt;$E28*$E23,"YES","NO"))</f>
        <v>NO</v>
      </c>
      <c r="DI53" s="48" t="str">
        <f t="shared" ref="DI53" si="700">IF(DI52="NO",IF(DH46+DI41&gt;$E27*$E23,"YES", "NO"), IF(DH46-(DI44-DI41)&lt;$E28*$E23,"YES","NO"))</f>
        <v>NO</v>
      </c>
      <c r="DJ53" s="48" t="str">
        <f>IF(DJ52="NO",IF(DI46+DJ41&gt;$E27*$E23,"YES", "NO"), IF(DI46-(DJ44-DJ41)&lt;$E28*$E23,"YES","NO"))</f>
        <v>NO</v>
      </c>
      <c r="DK53" s="48" t="str">
        <f t="shared" ref="DK53" si="701">IF(DK52="NO",IF(DJ46+DK41&gt;$E27*$E23,"YES", "NO"), IF(DJ46-(DK44-DK41)&lt;$E28*$E23,"YES","NO"))</f>
        <v>NO</v>
      </c>
      <c r="DL53" s="1" t="s">
        <v>184</v>
      </c>
      <c r="DO53" s="48" t="str">
        <f t="shared" ref="DO53" si="702">IF(DO52="NO",IF(DN46+DO41&gt;$E27*$E23,"YES", "NO"), IF(DN46-(DO44-DO41)&lt;$E28*$E23,"YES","NO"))</f>
        <v>NO</v>
      </c>
      <c r="DP53" s="48" t="str">
        <f t="shared" ref="DP53" si="703">IF(DP52="NO",IF(DO46+DP41&gt;$E27*$E23,"YES", "NO"), IF(DO46-(DP44-DP41)&lt;$E28*$E23,"YES","NO"))</f>
        <v>NO</v>
      </c>
      <c r="DQ53" s="48" t="str">
        <f t="shared" ref="DQ53" si="704">IF(DQ52="NO",IF(DP46+DQ41&gt;$E27*$E23,"YES", "NO"), IF(DP46-(DQ44-DQ41)&lt;$E28*$E23,"YES","NO"))</f>
        <v>NO</v>
      </c>
      <c r="DR53" s="48" t="str">
        <f t="shared" ref="DR53" si="705">IF(DR52="NO",IF(DQ46+DR41&gt;$E27*$E23,"YES", "NO"), IF(DQ46-(DR44-DR41)&lt;$E28*$E23,"YES","NO"))</f>
        <v>NO</v>
      </c>
      <c r="DS53" s="48" t="str">
        <f t="shared" ref="DS53" si="706">IF(DS52="NO",IF(DR46+DS41&gt;$E27*$E23,"YES", "NO"), IF(DR46-(DS44-DS41)&lt;$E28*$E23,"YES","NO"))</f>
        <v>NO</v>
      </c>
      <c r="DT53" s="48" t="str">
        <f t="shared" ref="DT53" si="707">IF(DT52="NO",IF(DS46+DT41&gt;$E27*$E23,"YES", "NO"), IF(DS46-(DT44-DT41)&lt;$E28*$E23,"YES","NO"))</f>
        <v>NO</v>
      </c>
      <c r="DU53" s="48" t="str">
        <f t="shared" ref="DU53" si="708">IF(DU52="NO",IF(DT46+DU41&gt;$E27*$E23,"YES", "NO"), IF(DT46-(DU44-DU41)&lt;$E28*$E23,"YES","NO"))</f>
        <v>NO</v>
      </c>
      <c r="DV53" s="48" t="str">
        <f t="shared" ref="DV53" si="709">IF(DV52="NO",IF(DU46+DV41&gt;$E27*$E23,"YES", "NO"), IF(DU46-(DV44-DV41)&lt;$E28*$E23,"YES","NO"))</f>
        <v>NO</v>
      </c>
      <c r="DW53" s="48" t="str">
        <f t="shared" ref="DW53" si="710">IF(DW52="NO",IF(DV46+DW41&gt;$E27*$E23,"YES", "NO"), IF(DV46-(DW44-DW41)&lt;$E28*$E23,"YES","NO"))</f>
        <v>NO</v>
      </c>
      <c r="DX53" s="48" t="str">
        <f t="shared" ref="DX53" si="711">IF(DX52="NO",IF(DW46+DX41&gt;$E27*$E23,"YES", "NO"), IF(DW46-(DX44-DX41)&lt;$E28*$E23,"YES","NO"))</f>
        <v>NO</v>
      </c>
      <c r="DY53" s="48" t="str">
        <f t="shared" ref="DY53" si="712">IF(DY52="NO",IF(DX46+DY41&gt;$E27*$E23,"YES", "NO"), IF(DX46-(DY44-DY41)&lt;$E28*$E23,"YES","NO"))</f>
        <v>NO</v>
      </c>
      <c r="DZ53" s="48" t="str">
        <f t="shared" ref="DZ53" si="713">IF(DZ52="NO",IF(DY46+DZ41&gt;$E27*$E23,"YES", "NO"), IF(DY46-(DZ44-DZ41)&lt;$E28*$E23,"YES","NO"))</f>
        <v>NO</v>
      </c>
      <c r="EA53" s="48" t="str">
        <f t="shared" ref="EA53" si="714">IF(EA52="NO",IF(DZ46+EA41&gt;$E27*$E23,"YES", "NO"), IF(DZ46-(EA44-EA41)&lt;$E28*$E23,"YES","NO"))</f>
        <v>NO</v>
      </c>
      <c r="EB53" s="48" t="str">
        <f t="shared" ref="EB53" si="715">IF(EB52="NO",IF(EA46+EB41&gt;$E27*$E23,"YES", "NO"), IF(EA46-(EB44-EB41)&lt;$E28*$E23,"YES","NO"))</f>
        <v>NO</v>
      </c>
      <c r="EC53" s="48" t="str">
        <f t="shared" ref="EC53" si="716">IF(EC52="NO",IF(EB46+EC41&gt;$E27*$E23,"YES", "NO"), IF(EB46-(EC44-EC41)&lt;$E28*$E23,"YES","NO"))</f>
        <v>NO</v>
      </c>
      <c r="ED53" s="48" t="str">
        <f t="shared" ref="ED53" si="717">IF(ED52="NO",IF(EC46+ED41&gt;$E27*$E23,"YES", "NO"), IF(EC46-(ED44-ED41)&lt;$E28*$E23,"YES","NO"))</f>
        <v>NO</v>
      </c>
      <c r="EE53" s="48" t="str">
        <f t="shared" ref="EE53" si="718">IF(EE52="NO",IF(ED46+EE41&gt;$E27*$E23,"YES", "NO"), IF(ED46-(EE44-EE41)&lt;$E28*$E23,"YES","NO"))</f>
        <v>NO</v>
      </c>
      <c r="EF53" s="48" t="str">
        <f t="shared" ref="EF53" si="719">IF(EF52="NO",IF(EE46+EF41&gt;$E27*$E23,"YES", "NO"), IF(EE46-(EF44-EF41)&lt;$E28*$E23,"YES","NO"))</f>
        <v>NO</v>
      </c>
      <c r="EG53" s="48" t="str">
        <f t="shared" ref="EG53" si="720">IF(EG52="NO",IF(EF46+EG41&gt;$E27*$E23,"YES", "NO"), IF(EF46-(EG44-EG41)&lt;$E28*$E23,"YES","NO"))</f>
        <v>NO</v>
      </c>
      <c r="EH53" s="48" t="str">
        <f t="shared" ref="EH53" si="721">IF(EH52="NO",IF(EG46+EH41&gt;$E27*$E23,"YES", "NO"), IF(EG46-(EH44-EH41)&lt;$E28*$E23,"YES","NO"))</f>
        <v>NO</v>
      </c>
      <c r="EI53" s="48" t="str">
        <f t="shared" ref="EI53" si="722">IF(EI52="NO",IF(EH46+EI41&gt;$E27*$E23,"YES", "NO"), IF(EH46-(EI44-EI41)&lt;$E28*$E23,"YES","NO"))</f>
        <v>NO</v>
      </c>
      <c r="EJ53" s="48" t="str">
        <f>IF(EJ52="NO",IF(EI46+EJ41&gt;$E27*$E23,"YES", "NO"), IF(EI46-(EJ44-EJ41)&lt;$E28*$E23,"YES","NO"))</f>
        <v>NO</v>
      </c>
      <c r="EK53" s="48" t="str">
        <f t="shared" ref="EK53" si="723">IF(EK52="NO",IF(EJ46+EK41&gt;$E27*$E23,"YES", "NO"), IF(EJ46-(EK44-EK41)&lt;$E28*$E23,"YES","NO"))</f>
        <v>NO</v>
      </c>
      <c r="EL53" s="1" t="s">
        <v>184</v>
      </c>
      <c r="EO53" s="48" t="str">
        <f t="shared" ref="EO53" si="724">IF(EO52="NO",IF(EN46+EO41&gt;$E27*$E23,"YES", "NO"), IF(EN46-(EO44-EO41)&lt;$E28*$E23,"YES","NO"))</f>
        <v>YES</v>
      </c>
      <c r="EP53" s="48" t="str">
        <f t="shared" ref="EP53" si="725">IF(EP52="NO",IF(EO46+EP41&gt;$E27*$E23,"YES", "NO"), IF(EO46-(EP44-EP41)&lt;$E28*$E23,"YES","NO"))</f>
        <v>NO</v>
      </c>
      <c r="EQ53" s="48" t="str">
        <f t="shared" ref="EQ53" si="726">IF(EQ52="NO",IF(EP46+EQ41&gt;$E27*$E23,"YES", "NO"), IF(EP46-(EQ44-EQ41)&lt;$E28*$E23,"YES","NO"))</f>
        <v>NO</v>
      </c>
      <c r="ER53" s="48" t="str">
        <f t="shared" ref="ER53" si="727">IF(ER52="NO",IF(EQ46+ER41&gt;$E27*$E23,"YES", "NO"), IF(EQ46-(ER44-ER41)&lt;$E28*$E23,"YES","NO"))</f>
        <v>NO</v>
      </c>
      <c r="ES53" s="48" t="str">
        <f t="shared" ref="ES53" si="728">IF(ES52="NO",IF(ER46+ES41&gt;$E27*$E23,"YES", "NO"), IF(ER46-(ES44-ES41)&lt;$E28*$E23,"YES","NO"))</f>
        <v>NO</v>
      </c>
      <c r="ET53" s="48" t="str">
        <f t="shared" ref="ET53" si="729">IF(ET52="NO",IF(ES46+ET41&gt;$E27*$E23,"YES", "NO"), IF(ES46-(ET44-ET41)&lt;$E28*$E23,"YES","NO"))</f>
        <v>NO</v>
      </c>
      <c r="EU53" s="48" t="str">
        <f t="shared" ref="EU53" si="730">IF(EU52="NO",IF(ET46+EU41&gt;$E27*$E23,"YES", "NO"), IF(ET46-(EU44-EU41)&lt;$E28*$E23,"YES","NO"))</f>
        <v>NO</v>
      </c>
      <c r="EV53" s="48" t="str">
        <f t="shared" ref="EV53" si="731">IF(EV52="NO",IF(EU46+EV41&gt;$E27*$E23,"YES", "NO"), IF(EU46-(EV44-EV41)&lt;$E28*$E23,"YES","NO"))</f>
        <v>YES</v>
      </c>
      <c r="EW53" s="48" t="str">
        <f t="shared" ref="EW53" si="732">IF(EW52="NO",IF(EV46+EW41&gt;$E27*$E23,"YES", "NO"), IF(EV46-(EW44-EW41)&lt;$E28*$E23,"YES","NO"))</f>
        <v>NO</v>
      </c>
      <c r="EX53" s="48" t="str">
        <f t="shared" ref="EX53" si="733">IF(EX52="NO",IF(EW46+EX41&gt;$E27*$E23,"YES", "NO"), IF(EW46-(EX44-EX41)&lt;$E28*$E23,"YES","NO"))</f>
        <v>NO</v>
      </c>
      <c r="EY53" s="48" t="str">
        <f t="shared" ref="EY53" si="734">IF(EY52="NO",IF(EX46+EY41&gt;$E27*$E23,"YES", "NO"), IF(EX46-(EY44-EY41)&lt;$E28*$E23,"YES","NO"))</f>
        <v>NO</v>
      </c>
      <c r="EZ53" s="48" t="str">
        <f t="shared" ref="EZ53" si="735">IF(EZ52="NO",IF(EY46+EZ41&gt;$E27*$E23,"YES", "NO"), IF(EY46-(EZ44-EZ41)&lt;$E28*$E23,"YES","NO"))</f>
        <v>NO</v>
      </c>
      <c r="FA53" s="48" t="str">
        <f t="shared" ref="FA53" si="736">IF(FA52="NO",IF(EZ46+FA41&gt;$E27*$E23,"YES", "NO"), IF(EZ46-(FA44-FA41)&lt;$E28*$E23,"YES","NO"))</f>
        <v>NO</v>
      </c>
      <c r="FB53" s="48" t="str">
        <f t="shared" ref="FB53" si="737">IF(FB52="NO",IF(FA46+FB41&gt;$E27*$E23,"YES", "NO"), IF(FA46-(FB44-FB41)&lt;$E28*$E23,"YES","NO"))</f>
        <v>NO</v>
      </c>
      <c r="FC53" s="48" t="str">
        <f t="shared" ref="FC53" si="738">IF(FC52="NO",IF(FB46+FC41&gt;$E27*$E23,"YES", "NO"), IF(FB46-(FC44-FC41)&lt;$E28*$E23,"YES","NO"))</f>
        <v>NO</v>
      </c>
      <c r="FD53" s="48" t="str">
        <f t="shared" ref="FD53" si="739">IF(FD52="NO",IF(FC46+FD41&gt;$E27*$E23,"YES", "NO"), IF(FC46-(FD44-FD41)&lt;$E28*$E23,"YES","NO"))</f>
        <v>NO</v>
      </c>
      <c r="FE53" s="48" t="str">
        <f t="shared" ref="FE53" si="740">IF(FE52="NO",IF(FD46+FE41&gt;$E27*$E23,"YES", "NO"), IF(FD46-(FE44-FE41)&lt;$E28*$E23,"YES","NO"))</f>
        <v>YES</v>
      </c>
      <c r="FF53" s="48" t="str">
        <f t="shared" ref="FF53" si="741">IF(FF52="NO",IF(FE46+FF41&gt;$E27*$E23,"YES", "NO"), IF(FE46-(FF44-FF41)&lt;$E28*$E23,"YES","NO"))</f>
        <v>NO</v>
      </c>
      <c r="FG53" s="48" t="str">
        <f t="shared" ref="FG53" si="742">IF(FG52="NO",IF(FF46+FG41&gt;$E27*$E23,"YES", "NO"), IF(FF46-(FG44-FG41)&lt;$E28*$E23,"YES","NO"))</f>
        <v>NO</v>
      </c>
      <c r="FH53" s="48" t="str">
        <f t="shared" ref="FH53" si="743">IF(FH52="NO",IF(FG46+FH41&gt;$E27*$E23,"YES", "NO"), IF(FG46-(FH44-FH41)&lt;$E28*$E23,"YES","NO"))</f>
        <v>NO</v>
      </c>
      <c r="FI53" s="48" t="str">
        <f t="shared" ref="FI53" si="744">IF(FI52="NO",IF(FH46+FI41&gt;$E27*$E23,"YES", "NO"), IF(FH46-(FI44-FI41)&lt;$E28*$E23,"YES","NO"))</f>
        <v>NO</v>
      </c>
      <c r="FJ53" s="48" t="str">
        <f>IF(FJ52="NO",IF(FI46+FJ41&gt;$E27*$E23,"YES", "NO"), IF(FI46-(FJ44-FJ41)&lt;$E28*$E23,"YES","NO"))</f>
        <v>NO</v>
      </c>
      <c r="FK53" s="48" t="str">
        <f t="shared" ref="FK53" si="745">IF(FK52="NO",IF(FJ46+FK41&gt;$E27*$E23,"YES", "NO"), IF(FJ46-(FK44-FK41)&lt;$E28*$E23,"YES","NO"))</f>
        <v>NO</v>
      </c>
    </row>
    <row r="54" spans="2:167" x14ac:dyDescent="0.25">
      <c r="B54" s="39"/>
      <c r="C54" s="19"/>
      <c r="D54" s="19"/>
      <c r="E54" s="19"/>
      <c r="F54" s="19"/>
      <c r="G54" s="19"/>
      <c r="H54" s="19"/>
      <c r="I54" s="19"/>
      <c r="J54" s="40"/>
      <c r="L54" s="1" t="s">
        <v>188</v>
      </c>
      <c r="O54" s="48" t="str">
        <f>IF(O52="YES",IF(O51="Charge","YES","NO"),"NO")</f>
        <v>NO</v>
      </c>
      <c r="P54" s="48" t="str">
        <f t="shared" ref="P54:AK54" si="746">IF(P52="YES",IF(P51="Charge","YES","NO"),"NO")</f>
        <v>NO</v>
      </c>
      <c r="Q54" s="48" t="str">
        <f t="shared" si="746"/>
        <v>NO</v>
      </c>
      <c r="R54" s="48" t="str">
        <f t="shared" si="746"/>
        <v>NO</v>
      </c>
      <c r="S54" s="48" t="str">
        <f t="shared" si="746"/>
        <v>NO</v>
      </c>
      <c r="T54" s="48" t="str">
        <f t="shared" si="746"/>
        <v>NO</v>
      </c>
      <c r="U54" s="48" t="str">
        <f t="shared" si="746"/>
        <v>NO</v>
      </c>
      <c r="V54" s="48" t="str">
        <f t="shared" si="746"/>
        <v>NO</v>
      </c>
      <c r="W54" s="48" t="str">
        <f t="shared" si="746"/>
        <v>NO</v>
      </c>
      <c r="X54" s="48" t="str">
        <f t="shared" si="746"/>
        <v>NO</v>
      </c>
      <c r="Y54" s="48" t="str">
        <f t="shared" si="746"/>
        <v>NO</v>
      </c>
      <c r="Z54" s="48" t="str">
        <f t="shared" si="746"/>
        <v>NO</v>
      </c>
      <c r="AA54" s="48" t="str">
        <f t="shared" si="746"/>
        <v>NO</v>
      </c>
      <c r="AB54" s="48" t="str">
        <f t="shared" si="746"/>
        <v>NO</v>
      </c>
      <c r="AC54" s="48" t="str">
        <f t="shared" si="746"/>
        <v>NO</v>
      </c>
      <c r="AD54" s="48" t="str">
        <f t="shared" si="746"/>
        <v>NO</v>
      </c>
      <c r="AE54" s="48" t="str">
        <f t="shared" si="746"/>
        <v>NO</v>
      </c>
      <c r="AF54" s="48" t="str">
        <f t="shared" si="746"/>
        <v>NO</v>
      </c>
      <c r="AG54" s="48" t="str">
        <f t="shared" si="746"/>
        <v>NO</v>
      </c>
      <c r="AH54" s="48" t="str">
        <f t="shared" si="746"/>
        <v>NO</v>
      </c>
      <c r="AI54" s="48" t="str">
        <f t="shared" si="746"/>
        <v>NO</v>
      </c>
      <c r="AJ54" s="48" t="str">
        <f t="shared" si="746"/>
        <v>NO</v>
      </c>
      <c r="AK54" s="48" t="str">
        <f t="shared" si="746"/>
        <v>NO</v>
      </c>
      <c r="AL54" s="1" t="s">
        <v>188</v>
      </c>
      <c r="AO54" s="48" t="str">
        <f>IF(AO52="YES",IF(AO51="Charge","YES","NO"),"NO")</f>
        <v>NO</v>
      </c>
      <c r="AP54" s="48" t="str">
        <f t="shared" ref="AP54:BK54" si="747">IF(AP52="YES",IF(AP51="Charge","YES","NO"),"NO")</f>
        <v>NO</v>
      </c>
      <c r="AQ54" s="48" t="str">
        <f t="shared" si="747"/>
        <v>NO</v>
      </c>
      <c r="AR54" s="48" t="str">
        <f t="shared" si="747"/>
        <v>NO</v>
      </c>
      <c r="AS54" s="48" t="str">
        <f t="shared" si="747"/>
        <v>NO</v>
      </c>
      <c r="AT54" s="48" t="str">
        <f t="shared" si="747"/>
        <v>NO</v>
      </c>
      <c r="AU54" s="48" t="str">
        <f t="shared" si="747"/>
        <v>NO</v>
      </c>
      <c r="AV54" s="48" t="str">
        <f t="shared" si="747"/>
        <v>NO</v>
      </c>
      <c r="AW54" s="48" t="str">
        <f t="shared" si="747"/>
        <v>NO</v>
      </c>
      <c r="AX54" s="48" t="str">
        <f t="shared" si="747"/>
        <v>NO</v>
      </c>
      <c r="AY54" s="48" t="str">
        <f t="shared" si="747"/>
        <v>NO</v>
      </c>
      <c r="AZ54" s="48" t="str">
        <f t="shared" si="747"/>
        <v>NO</v>
      </c>
      <c r="BA54" s="48" t="str">
        <f t="shared" si="747"/>
        <v>NO</v>
      </c>
      <c r="BB54" s="48" t="str">
        <f t="shared" si="747"/>
        <v>NO</v>
      </c>
      <c r="BC54" s="48" t="str">
        <f t="shared" si="747"/>
        <v>NO</v>
      </c>
      <c r="BD54" s="48" t="str">
        <f t="shared" si="747"/>
        <v>NO</v>
      </c>
      <c r="BE54" s="48" t="str">
        <f t="shared" si="747"/>
        <v>NO</v>
      </c>
      <c r="BF54" s="48" t="str">
        <f t="shared" si="747"/>
        <v>NO</v>
      </c>
      <c r="BG54" s="48" t="str">
        <f t="shared" si="747"/>
        <v>NO</v>
      </c>
      <c r="BH54" s="48" t="str">
        <f t="shared" si="747"/>
        <v>NO</v>
      </c>
      <c r="BI54" s="48" t="str">
        <f t="shared" si="747"/>
        <v>NO</v>
      </c>
      <c r="BJ54" s="48" t="str">
        <f t="shared" si="747"/>
        <v>NO</v>
      </c>
      <c r="BK54" s="48" t="str">
        <f t="shared" si="747"/>
        <v>NO</v>
      </c>
      <c r="BL54" s="1" t="s">
        <v>188</v>
      </c>
      <c r="BO54" s="48" t="str">
        <f>IF(BO52="YES",IF(BO51="Charge","YES","NO"),"NO")</f>
        <v>NO</v>
      </c>
      <c r="BP54" s="48" t="str">
        <f t="shared" ref="BP54:CK54" si="748">IF(BP52="YES",IF(BP51="Charge","YES","NO"),"NO")</f>
        <v>NO</v>
      </c>
      <c r="BQ54" s="48" t="str">
        <f t="shared" si="748"/>
        <v>NO</v>
      </c>
      <c r="BR54" s="48" t="str">
        <f t="shared" si="748"/>
        <v>NO</v>
      </c>
      <c r="BS54" s="48" t="str">
        <f t="shared" si="748"/>
        <v>NO</v>
      </c>
      <c r="BT54" s="48" t="str">
        <f t="shared" si="748"/>
        <v>NO</v>
      </c>
      <c r="BU54" s="48" t="str">
        <f t="shared" si="748"/>
        <v>NO</v>
      </c>
      <c r="BV54" s="48" t="str">
        <f t="shared" si="748"/>
        <v>NO</v>
      </c>
      <c r="BW54" s="48" t="str">
        <f t="shared" si="748"/>
        <v>NO</v>
      </c>
      <c r="BX54" s="48" t="str">
        <f t="shared" si="748"/>
        <v>NO</v>
      </c>
      <c r="BY54" s="48" t="str">
        <f t="shared" si="748"/>
        <v>NO</v>
      </c>
      <c r="BZ54" s="48" t="str">
        <f t="shared" si="748"/>
        <v>NO</v>
      </c>
      <c r="CA54" s="48" t="str">
        <f t="shared" si="748"/>
        <v>NO</v>
      </c>
      <c r="CB54" s="48" t="str">
        <f t="shared" si="748"/>
        <v>NO</v>
      </c>
      <c r="CC54" s="48" t="str">
        <f t="shared" si="748"/>
        <v>NO</v>
      </c>
      <c r="CD54" s="48" t="str">
        <f t="shared" si="748"/>
        <v>NO</v>
      </c>
      <c r="CE54" s="48" t="str">
        <f t="shared" si="748"/>
        <v>NO</v>
      </c>
      <c r="CF54" s="48" t="str">
        <f t="shared" si="748"/>
        <v>NO</v>
      </c>
      <c r="CG54" s="48" t="str">
        <f t="shared" si="748"/>
        <v>NO</v>
      </c>
      <c r="CH54" s="48" t="str">
        <f t="shared" si="748"/>
        <v>NO</v>
      </c>
      <c r="CI54" s="48" t="str">
        <f t="shared" si="748"/>
        <v>NO</v>
      </c>
      <c r="CJ54" s="48" t="str">
        <f t="shared" si="748"/>
        <v>NO</v>
      </c>
      <c r="CK54" s="48" t="str">
        <f t="shared" si="748"/>
        <v>NO</v>
      </c>
      <c r="CL54" s="1" t="s">
        <v>188</v>
      </c>
      <c r="CO54" s="48" t="str">
        <f>IF(CO52="YES",IF(CO51="Charge","YES","NO"),"NO")</f>
        <v>NO</v>
      </c>
      <c r="CP54" s="48" t="str">
        <f t="shared" ref="CP54:DK54" si="749">IF(CP52="YES",IF(CP51="Charge","YES","NO"),"NO")</f>
        <v>NO</v>
      </c>
      <c r="CQ54" s="48" t="str">
        <f t="shared" si="749"/>
        <v>NO</v>
      </c>
      <c r="CR54" s="48" t="str">
        <f t="shared" si="749"/>
        <v>NO</v>
      </c>
      <c r="CS54" s="48" t="str">
        <f t="shared" si="749"/>
        <v>NO</v>
      </c>
      <c r="CT54" s="48" t="str">
        <f t="shared" si="749"/>
        <v>NO</v>
      </c>
      <c r="CU54" s="48" t="str">
        <f t="shared" si="749"/>
        <v>NO</v>
      </c>
      <c r="CV54" s="48" t="str">
        <f t="shared" si="749"/>
        <v>NO</v>
      </c>
      <c r="CW54" s="48" t="str">
        <f t="shared" si="749"/>
        <v>NO</v>
      </c>
      <c r="CX54" s="48" t="str">
        <f t="shared" si="749"/>
        <v>NO</v>
      </c>
      <c r="CY54" s="48" t="str">
        <f t="shared" si="749"/>
        <v>NO</v>
      </c>
      <c r="CZ54" s="48" t="str">
        <f t="shared" si="749"/>
        <v>NO</v>
      </c>
      <c r="DA54" s="48" t="str">
        <f t="shared" si="749"/>
        <v>NO</v>
      </c>
      <c r="DB54" s="48" t="str">
        <f t="shared" si="749"/>
        <v>NO</v>
      </c>
      <c r="DC54" s="48" t="str">
        <f t="shared" si="749"/>
        <v>NO</v>
      </c>
      <c r="DD54" s="48" t="str">
        <f t="shared" si="749"/>
        <v>NO</v>
      </c>
      <c r="DE54" s="48" t="str">
        <f t="shared" si="749"/>
        <v>NO</v>
      </c>
      <c r="DF54" s="48" t="str">
        <f t="shared" si="749"/>
        <v>NO</v>
      </c>
      <c r="DG54" s="48" t="str">
        <f t="shared" si="749"/>
        <v>NO</v>
      </c>
      <c r="DH54" s="48" t="str">
        <f t="shared" si="749"/>
        <v>NO</v>
      </c>
      <c r="DI54" s="48" t="str">
        <f t="shared" si="749"/>
        <v>NO</v>
      </c>
      <c r="DJ54" s="48" t="str">
        <f t="shared" si="749"/>
        <v>NO</v>
      </c>
      <c r="DK54" s="48" t="str">
        <f t="shared" si="749"/>
        <v>NO</v>
      </c>
      <c r="DL54" s="1" t="s">
        <v>188</v>
      </c>
      <c r="DO54" s="48" t="str">
        <f>IF(DO52="YES",IF(DO51="Charge","YES","NO"),"NO")</f>
        <v>NO</v>
      </c>
      <c r="DP54" s="48" t="str">
        <f t="shared" ref="DP54:EK54" si="750">IF(DP52="YES",IF(DP51="Charge","YES","NO"),"NO")</f>
        <v>NO</v>
      </c>
      <c r="DQ54" s="48" t="str">
        <f t="shared" si="750"/>
        <v>NO</v>
      </c>
      <c r="DR54" s="48" t="str">
        <f t="shared" si="750"/>
        <v>NO</v>
      </c>
      <c r="DS54" s="48" t="str">
        <f t="shared" si="750"/>
        <v>NO</v>
      </c>
      <c r="DT54" s="48" t="str">
        <f t="shared" si="750"/>
        <v>NO</v>
      </c>
      <c r="DU54" s="48" t="str">
        <f t="shared" si="750"/>
        <v>NO</v>
      </c>
      <c r="DV54" s="48" t="str">
        <f t="shared" si="750"/>
        <v>NO</v>
      </c>
      <c r="DW54" s="48" t="str">
        <f t="shared" si="750"/>
        <v>NO</v>
      </c>
      <c r="DX54" s="48" t="str">
        <f t="shared" si="750"/>
        <v>NO</v>
      </c>
      <c r="DY54" s="48" t="str">
        <f t="shared" si="750"/>
        <v>NO</v>
      </c>
      <c r="DZ54" s="48" t="str">
        <f t="shared" si="750"/>
        <v>NO</v>
      </c>
      <c r="EA54" s="48" t="str">
        <f t="shared" si="750"/>
        <v>NO</v>
      </c>
      <c r="EB54" s="48" t="str">
        <f t="shared" si="750"/>
        <v>NO</v>
      </c>
      <c r="EC54" s="48" t="str">
        <f t="shared" si="750"/>
        <v>NO</v>
      </c>
      <c r="ED54" s="48" t="str">
        <f t="shared" si="750"/>
        <v>NO</v>
      </c>
      <c r="EE54" s="48" t="str">
        <f t="shared" si="750"/>
        <v>NO</v>
      </c>
      <c r="EF54" s="48" t="str">
        <f t="shared" si="750"/>
        <v>NO</v>
      </c>
      <c r="EG54" s="48" t="str">
        <f t="shared" si="750"/>
        <v>NO</v>
      </c>
      <c r="EH54" s="48" t="str">
        <f t="shared" si="750"/>
        <v>NO</v>
      </c>
      <c r="EI54" s="48" t="str">
        <f t="shared" si="750"/>
        <v>NO</v>
      </c>
      <c r="EJ54" s="48" t="str">
        <f t="shared" si="750"/>
        <v>NO</v>
      </c>
      <c r="EK54" s="48" t="str">
        <f t="shared" si="750"/>
        <v>NO</v>
      </c>
      <c r="EL54" s="1" t="s">
        <v>188</v>
      </c>
      <c r="EO54" s="48" t="str">
        <f>IF(EO52="YES",IF(EO51="Charge","YES","NO"),"NO")</f>
        <v>YES</v>
      </c>
      <c r="EP54" s="48" t="str">
        <f t="shared" ref="EP54:FK54" si="751">IF(EP52="YES",IF(EP51="Charge","YES","NO"),"NO")</f>
        <v>NO</v>
      </c>
      <c r="EQ54" s="48" t="str">
        <f t="shared" si="751"/>
        <v>NO</v>
      </c>
      <c r="ER54" s="48" t="str">
        <f t="shared" si="751"/>
        <v>NO</v>
      </c>
      <c r="ES54" s="48" t="str">
        <f t="shared" si="751"/>
        <v>NO</v>
      </c>
      <c r="ET54" s="48" t="str">
        <f t="shared" si="751"/>
        <v>NO</v>
      </c>
      <c r="EU54" s="48" t="str">
        <f t="shared" si="751"/>
        <v>NO</v>
      </c>
      <c r="EV54" s="48" t="str">
        <f t="shared" si="751"/>
        <v>YES</v>
      </c>
      <c r="EW54" s="48" t="str">
        <f t="shared" si="751"/>
        <v>NO</v>
      </c>
      <c r="EX54" s="48" t="str">
        <f t="shared" si="751"/>
        <v>NO</v>
      </c>
      <c r="EY54" s="48" t="str">
        <f t="shared" si="751"/>
        <v>NO</v>
      </c>
      <c r="EZ54" s="48" t="str">
        <f t="shared" si="751"/>
        <v>NO</v>
      </c>
      <c r="FA54" s="48" t="str">
        <f t="shared" si="751"/>
        <v>NO</v>
      </c>
      <c r="FB54" s="48" t="str">
        <f t="shared" si="751"/>
        <v>NO</v>
      </c>
      <c r="FC54" s="48" t="str">
        <f t="shared" si="751"/>
        <v>NO</v>
      </c>
      <c r="FD54" s="48" t="str">
        <f t="shared" si="751"/>
        <v>NO</v>
      </c>
      <c r="FE54" s="48" t="str">
        <f t="shared" si="751"/>
        <v>YES</v>
      </c>
      <c r="FF54" s="48" t="str">
        <f t="shared" si="751"/>
        <v>NO</v>
      </c>
      <c r="FG54" s="48" t="str">
        <f t="shared" si="751"/>
        <v>NO</v>
      </c>
      <c r="FH54" s="48" t="str">
        <f t="shared" si="751"/>
        <v>NO</v>
      </c>
      <c r="FI54" s="48" t="str">
        <f t="shared" si="751"/>
        <v>NO</v>
      </c>
      <c r="FJ54" s="48" t="str">
        <f t="shared" si="751"/>
        <v>NO</v>
      </c>
      <c r="FK54" s="48" t="str">
        <f t="shared" si="751"/>
        <v>NO</v>
      </c>
    </row>
    <row r="55" spans="2:167" s="36" customFormat="1" ht="15.75" x14ac:dyDescent="0.25">
      <c r="B55" s="132" t="s">
        <v>255</v>
      </c>
      <c r="C55" s="133"/>
      <c r="D55" s="133"/>
      <c r="E55" s="133"/>
      <c r="F55" s="133"/>
      <c r="G55" s="133"/>
      <c r="H55" s="133"/>
      <c r="I55" s="133"/>
      <c r="J55" s="134"/>
      <c r="N55" s="65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L55" s="35"/>
      <c r="BL55" s="35"/>
      <c r="CL55" s="35"/>
      <c r="DL55" s="35"/>
      <c r="EL55" s="35"/>
    </row>
    <row r="56" spans="2:167" x14ac:dyDescent="0.25">
      <c r="B56" s="58" t="s">
        <v>13</v>
      </c>
      <c r="C56" s="59"/>
      <c r="D56" s="59"/>
      <c r="E56" s="59"/>
      <c r="F56" s="59"/>
      <c r="G56" s="59"/>
      <c r="H56" s="59"/>
      <c r="I56" s="59"/>
      <c r="J56" s="60"/>
      <c r="N56" s="22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8"/>
      <c r="AC56" s="28"/>
      <c r="AQ56" s="2" t="s">
        <v>67</v>
      </c>
      <c r="AV56" s="2" t="s">
        <v>100</v>
      </c>
      <c r="BQ56" s="2" t="s">
        <v>67</v>
      </c>
      <c r="BV56" s="2" t="s">
        <v>100</v>
      </c>
      <c r="CQ56" s="2" t="s">
        <v>67</v>
      </c>
      <c r="CV56" s="2" t="s">
        <v>100</v>
      </c>
      <c r="DQ56" s="2" t="s">
        <v>67</v>
      </c>
      <c r="DV56" s="2" t="s">
        <v>100</v>
      </c>
      <c r="EM56" s="1" t="s">
        <v>179</v>
      </c>
      <c r="EV56" s="2" t="s">
        <v>100</v>
      </c>
    </row>
    <row r="57" spans="2:167" x14ac:dyDescent="0.25">
      <c r="B57" s="54" t="s">
        <v>127</v>
      </c>
      <c r="G57" s="2" t="s">
        <v>22</v>
      </c>
      <c r="J57" s="38"/>
      <c r="N57" s="22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1" t="s">
        <v>246</v>
      </c>
      <c r="AC57" s="1" t="s">
        <v>247</v>
      </c>
      <c r="AQ57" s="1" t="s">
        <v>107</v>
      </c>
      <c r="AS57" s="1" t="s">
        <v>14</v>
      </c>
      <c r="AT57" s="49">
        <f>SUM(AN73:BK73)</f>
        <v>86.993999999999986</v>
      </c>
      <c r="AV57" s="1" t="s">
        <v>145</v>
      </c>
      <c r="AX57" s="1" t="s">
        <v>40</v>
      </c>
      <c r="AY57" s="49">
        <f>SUM(AN74:BK74)</f>
        <v>288.00000000000006</v>
      </c>
      <c r="BA57" s="1" t="s">
        <v>172</v>
      </c>
      <c r="BB57" s="1">
        <v>2</v>
      </c>
      <c r="BQ57" s="1" t="s">
        <v>107</v>
      </c>
      <c r="BS57" s="1" t="s">
        <v>14</v>
      </c>
      <c r="BT57" s="49">
        <f>SUM(BN73:CK73)</f>
        <v>86.993999999999986</v>
      </c>
      <c r="BV57" s="1" t="s">
        <v>145</v>
      </c>
      <c r="BX57" s="1" t="s">
        <v>40</v>
      </c>
      <c r="BY57" s="49">
        <f>SUM(BN74:CK74)</f>
        <v>288.00000000000006</v>
      </c>
      <c r="CA57" s="1" t="s">
        <v>172</v>
      </c>
      <c r="CB57" s="1">
        <v>3</v>
      </c>
      <c r="CQ57" s="1" t="s">
        <v>107</v>
      </c>
      <c r="CS57" s="1" t="s">
        <v>14</v>
      </c>
      <c r="CT57" s="49">
        <f>SUM(CN73:DK73)</f>
        <v>86.993999999999986</v>
      </c>
      <c r="CV57" s="1" t="s">
        <v>145</v>
      </c>
      <c r="CX57" s="1" t="s">
        <v>40</v>
      </c>
      <c r="CY57" s="49">
        <f>SUM(CN74:DK74)</f>
        <v>288.00000000000006</v>
      </c>
      <c r="DA57" s="1" t="s">
        <v>172</v>
      </c>
      <c r="DB57" s="1">
        <v>4</v>
      </c>
      <c r="DQ57" s="1" t="s">
        <v>107</v>
      </c>
      <c r="DS57" s="1" t="s">
        <v>14</v>
      </c>
      <c r="DT57" s="49">
        <f>SUM(DN73:EK73)</f>
        <v>86.993999999999986</v>
      </c>
      <c r="DV57" s="1" t="s">
        <v>145</v>
      </c>
      <c r="DX57" s="1" t="s">
        <v>40</v>
      </c>
      <c r="DY57" s="49">
        <f>SUM(DN74:EK74)</f>
        <v>288.00000000000006</v>
      </c>
      <c r="EA57" s="1" t="s">
        <v>172</v>
      </c>
      <c r="EB57" s="1">
        <v>5</v>
      </c>
      <c r="EM57" s="1" t="s">
        <v>180</v>
      </c>
      <c r="EV57" s="1" t="s">
        <v>145</v>
      </c>
      <c r="EX57" s="1" t="s">
        <v>40</v>
      </c>
      <c r="EY57" s="49">
        <f>SUM(EN74:FK74)</f>
        <v>288.00000000000006</v>
      </c>
    </row>
    <row r="58" spans="2:167" x14ac:dyDescent="0.25">
      <c r="B58" s="37" t="s">
        <v>1</v>
      </c>
      <c r="D58" s="1" t="s">
        <v>14</v>
      </c>
      <c r="E58" s="10">
        <v>284</v>
      </c>
      <c r="G58" s="1" t="s">
        <v>23</v>
      </c>
      <c r="I58" s="1" t="s">
        <v>18</v>
      </c>
      <c r="J58" s="13">
        <f>0.75*J59</f>
        <v>213</v>
      </c>
      <c r="N58" s="22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48"/>
      <c r="AC58" s="1" t="s">
        <v>248</v>
      </c>
      <c r="AQ58" s="1" t="s">
        <v>108</v>
      </c>
      <c r="AS58" s="1" t="s">
        <v>14</v>
      </c>
      <c r="AT58" s="29">
        <f>AT57*365</f>
        <v>31752.809999999994</v>
      </c>
      <c r="AV58" s="1" t="s">
        <v>111</v>
      </c>
      <c r="AX58" s="1" t="s">
        <v>40</v>
      </c>
      <c r="AY58" s="49">
        <f>SUM(AV75:BI75)</f>
        <v>403.2000000000001</v>
      </c>
      <c r="BQ58" s="1" t="s">
        <v>108</v>
      </c>
      <c r="BS58" s="1" t="s">
        <v>14</v>
      </c>
      <c r="BT58" s="29">
        <f>BT57*365</f>
        <v>31752.809999999994</v>
      </c>
      <c r="BV58" s="1" t="s">
        <v>111</v>
      </c>
      <c r="BX58" s="1" t="s">
        <v>40</v>
      </c>
      <c r="BY58" s="49">
        <f>SUM(BV75:CI75)</f>
        <v>403.2000000000001</v>
      </c>
      <c r="CQ58" s="1" t="s">
        <v>108</v>
      </c>
      <c r="CS58" s="1" t="s">
        <v>14</v>
      </c>
      <c r="CT58" s="29">
        <f>CT57*365</f>
        <v>31752.809999999994</v>
      </c>
      <c r="CV58" s="1" t="s">
        <v>111</v>
      </c>
      <c r="CX58" s="1" t="s">
        <v>40</v>
      </c>
      <c r="CY58" s="49">
        <f>SUM(CV75:DI75)</f>
        <v>403.2000000000001</v>
      </c>
      <c r="DQ58" s="1" t="s">
        <v>108</v>
      </c>
      <c r="DS58" s="1" t="s">
        <v>14</v>
      </c>
      <c r="DT58" s="29">
        <f>DT57*365</f>
        <v>31752.809999999994</v>
      </c>
      <c r="DV58" s="1" t="s">
        <v>111</v>
      </c>
      <c r="DX58" s="1" t="s">
        <v>40</v>
      </c>
      <c r="DY58" s="49">
        <f>SUM(DV75:EI75)</f>
        <v>403.2000000000001</v>
      </c>
      <c r="EV58" s="1" t="s">
        <v>111</v>
      </c>
      <c r="EX58" s="1" t="s">
        <v>40</v>
      </c>
      <c r="EY58" s="49">
        <f>SUM(EV75:FI75)</f>
        <v>403.2000000000001</v>
      </c>
    </row>
    <row r="59" spans="2:167" x14ac:dyDescent="0.25">
      <c r="B59" s="37" t="s">
        <v>129</v>
      </c>
      <c r="D59" s="1" t="s">
        <v>130</v>
      </c>
      <c r="E59" s="57">
        <f>E70/E58</f>
        <v>0.63380281690140849</v>
      </c>
      <c r="G59" s="1" t="s">
        <v>24</v>
      </c>
      <c r="I59" s="1" t="s">
        <v>18</v>
      </c>
      <c r="J59" s="13">
        <f>E58</f>
        <v>284</v>
      </c>
      <c r="N59" s="22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V59" s="1" t="s">
        <v>102</v>
      </c>
      <c r="AX59" s="1" t="s">
        <v>40</v>
      </c>
      <c r="AY59" s="49">
        <f>SUM(AY57:AY58)</f>
        <v>691.20000000000016</v>
      </c>
      <c r="BV59" s="1" t="s">
        <v>102</v>
      </c>
      <c r="BX59" s="1" t="s">
        <v>40</v>
      </c>
      <c r="BY59" s="49">
        <f>SUM(BY57:BY58)</f>
        <v>691.20000000000016</v>
      </c>
      <c r="CV59" s="1" t="s">
        <v>102</v>
      </c>
      <c r="CX59" s="1" t="s">
        <v>40</v>
      </c>
      <c r="CY59" s="49">
        <f>SUM(CY57:CY58)</f>
        <v>691.20000000000016</v>
      </c>
      <c r="DV59" s="1" t="s">
        <v>102</v>
      </c>
      <c r="DX59" s="1" t="s">
        <v>40</v>
      </c>
      <c r="DY59" s="49">
        <f>SUM(DY57:DY58)</f>
        <v>691.20000000000016</v>
      </c>
      <c r="EV59" s="1" t="s">
        <v>102</v>
      </c>
      <c r="EX59" s="1" t="s">
        <v>40</v>
      </c>
      <c r="EY59" s="49">
        <f>SUM(EY57:EY58)</f>
        <v>691.20000000000016</v>
      </c>
    </row>
    <row r="60" spans="2:167" x14ac:dyDescent="0.25">
      <c r="B60" s="37" t="s">
        <v>131</v>
      </c>
      <c r="D60" s="1" t="s">
        <v>18</v>
      </c>
      <c r="E60" s="57">
        <f t="shared" ref="E60:E65" si="752">E25</f>
        <v>180</v>
      </c>
      <c r="J60" s="38"/>
      <c r="N60" s="22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</row>
    <row r="61" spans="2:167" x14ac:dyDescent="0.25">
      <c r="B61" s="84" t="s">
        <v>144</v>
      </c>
      <c r="C61" s="61"/>
      <c r="D61" s="28" t="s">
        <v>6</v>
      </c>
      <c r="E61" s="15">
        <f t="shared" si="752"/>
        <v>0.9</v>
      </c>
      <c r="G61" s="2" t="s">
        <v>100</v>
      </c>
      <c r="J61" s="40"/>
      <c r="N61" s="22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8"/>
      <c r="AV61" s="2" t="s">
        <v>36</v>
      </c>
      <c r="BV61" s="2" t="s">
        <v>36</v>
      </c>
      <c r="CV61" s="2" t="s">
        <v>36</v>
      </c>
      <c r="DV61" s="2" t="s">
        <v>36</v>
      </c>
      <c r="EV61" s="2" t="s">
        <v>36</v>
      </c>
    </row>
    <row r="62" spans="2:167" x14ac:dyDescent="0.25">
      <c r="B62" s="37" t="s">
        <v>158</v>
      </c>
      <c r="D62" s="1" t="s">
        <v>6</v>
      </c>
      <c r="E62" s="15">
        <f t="shared" si="752"/>
        <v>0.9</v>
      </c>
      <c r="G62" s="1" t="s">
        <v>145</v>
      </c>
      <c r="I62" s="1" t="s">
        <v>40</v>
      </c>
      <c r="J62" s="49">
        <f>SUM(N74:AK74)</f>
        <v>288.00000000000006</v>
      </c>
      <c r="N62" s="22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8"/>
      <c r="AV62" s="1" t="s">
        <v>29</v>
      </c>
      <c r="AX62" s="1" t="s">
        <v>27</v>
      </c>
      <c r="AY62" s="13">
        <f>$R$13+$R$14*(BB57-1)</f>
        <v>19</v>
      </c>
      <c r="BV62" s="1" t="s">
        <v>29</v>
      </c>
      <c r="BX62" s="1" t="s">
        <v>27</v>
      </c>
      <c r="BY62" s="13">
        <f>$R$13+$R$14*(CB57-1)</f>
        <v>21</v>
      </c>
      <c r="CV62" s="1" t="s">
        <v>29</v>
      </c>
      <c r="CX62" s="1" t="s">
        <v>27</v>
      </c>
      <c r="CY62" s="13">
        <f>$R13+$R14*(DB57-1)</f>
        <v>23</v>
      </c>
      <c r="DV62" s="1" t="s">
        <v>29</v>
      </c>
      <c r="DX62" s="1" t="s">
        <v>27</v>
      </c>
      <c r="DY62" s="13">
        <f>$R13+$R14*(EB57-1)</f>
        <v>25</v>
      </c>
      <c r="EV62" s="1" t="s">
        <v>29</v>
      </c>
      <c r="EX62" s="1" t="s">
        <v>27</v>
      </c>
      <c r="EY62" s="13">
        <f>FK$14</f>
        <v>23</v>
      </c>
    </row>
    <row r="63" spans="2:167" x14ac:dyDescent="0.25">
      <c r="B63" s="37" t="s">
        <v>159</v>
      </c>
      <c r="D63" s="1" t="s">
        <v>6</v>
      </c>
      <c r="E63" s="15">
        <f t="shared" si="752"/>
        <v>0.1</v>
      </c>
      <c r="G63" s="1" t="s">
        <v>111</v>
      </c>
      <c r="I63" s="1" t="s">
        <v>40</v>
      </c>
      <c r="J63" s="49">
        <f>SUM(V75:AI75)</f>
        <v>403.2000000000001</v>
      </c>
      <c r="N63" s="22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8"/>
      <c r="AV63" s="1" t="s">
        <v>28</v>
      </c>
      <c r="AX63" s="1" t="s">
        <v>30</v>
      </c>
      <c r="AY63" s="13">
        <f>AY62*365</f>
        <v>6935</v>
      </c>
      <c r="BV63" s="1" t="s">
        <v>28</v>
      </c>
      <c r="BX63" s="1" t="s">
        <v>30</v>
      </c>
      <c r="BY63" s="13">
        <f>BY62*365</f>
        <v>7665</v>
      </c>
      <c r="CV63" s="1" t="s">
        <v>28</v>
      </c>
      <c r="CX63" s="1" t="s">
        <v>30</v>
      </c>
      <c r="CY63" s="13">
        <f>CY62*365</f>
        <v>8395</v>
      </c>
      <c r="DV63" s="1" t="s">
        <v>28</v>
      </c>
      <c r="DX63" s="1" t="s">
        <v>30</v>
      </c>
      <c r="DY63" s="13">
        <f>DY62*365</f>
        <v>9125</v>
      </c>
      <c r="EV63" s="1" t="s">
        <v>28</v>
      </c>
      <c r="EX63" s="1" t="s">
        <v>30</v>
      </c>
      <c r="EY63" s="13">
        <f>EY62*365</f>
        <v>8395</v>
      </c>
    </row>
    <row r="64" spans="2:167" x14ac:dyDescent="0.25">
      <c r="B64" s="37" t="s">
        <v>160</v>
      </c>
      <c r="D64" s="1" t="s">
        <v>6</v>
      </c>
      <c r="E64" s="15">
        <f t="shared" si="752"/>
        <v>0.8</v>
      </c>
      <c r="G64" s="1" t="s">
        <v>102</v>
      </c>
      <c r="I64" s="1" t="s">
        <v>40</v>
      </c>
      <c r="J64" s="49">
        <f>SUM(J62:J63)</f>
        <v>691.20000000000016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V64" s="1" t="s">
        <v>141</v>
      </c>
      <c r="AX64" s="1" t="s">
        <v>44</v>
      </c>
      <c r="AY64" s="13">
        <f>COUNTIF(AO89:BK89,"YES")</f>
        <v>0</v>
      </c>
      <c r="BV64" s="1" t="s">
        <v>141</v>
      </c>
      <c r="BX64" s="1" t="s">
        <v>44</v>
      </c>
      <c r="BY64" s="13">
        <f>COUNTIF(BO89:CK89,"YES")</f>
        <v>0</v>
      </c>
      <c r="CV64" s="1" t="s">
        <v>141</v>
      </c>
      <c r="CX64" s="1" t="s">
        <v>44</v>
      </c>
      <c r="CY64" s="13">
        <f>COUNTIF(CO89:DK89,"YES")</f>
        <v>0</v>
      </c>
      <c r="DV64" s="1" t="s">
        <v>141</v>
      </c>
      <c r="DX64" s="1" t="s">
        <v>44</v>
      </c>
      <c r="DY64" s="13">
        <f>COUNTIF(DO89:EK89,"YES")</f>
        <v>0</v>
      </c>
      <c r="EV64" s="1" t="s">
        <v>141</v>
      </c>
      <c r="EX64" s="1" t="s">
        <v>44</v>
      </c>
      <c r="EY64" s="13">
        <f>COUNTIF(EO89:FK89,"YES")</f>
        <v>3</v>
      </c>
    </row>
    <row r="65" spans="2:167" x14ac:dyDescent="0.25">
      <c r="B65" s="37" t="s">
        <v>161</v>
      </c>
      <c r="D65" s="1" t="s">
        <v>6</v>
      </c>
      <c r="E65" s="15">
        <f t="shared" si="752"/>
        <v>0.8</v>
      </c>
      <c r="G65" s="1" t="s">
        <v>128</v>
      </c>
      <c r="I65" s="1" t="s">
        <v>18</v>
      </c>
      <c r="J65" s="49">
        <f>J30</f>
        <v>28.8</v>
      </c>
      <c r="AV65" s="1" t="s">
        <v>142</v>
      </c>
      <c r="AX65" s="1" t="s">
        <v>27</v>
      </c>
      <c r="AY65" s="13">
        <f>COUNTIFS(AO87:BK87,"YES",AO89:BK89,"NO")</f>
        <v>19</v>
      </c>
      <c r="BV65" s="1" t="s">
        <v>142</v>
      </c>
      <c r="BX65" s="1" t="s">
        <v>27</v>
      </c>
      <c r="BY65" s="13">
        <f>COUNTIFS(BO87:CK87,"YES",BO89:CK89,"NO")</f>
        <v>18</v>
      </c>
      <c r="CV65" s="1" t="s">
        <v>142</v>
      </c>
      <c r="CX65" s="1" t="s">
        <v>27</v>
      </c>
      <c r="CY65" s="13">
        <f>COUNTIFS(CO87:DK87,"YES",CO89:DK89,"NO")</f>
        <v>20</v>
      </c>
      <c r="DV65" s="1" t="s">
        <v>142</v>
      </c>
      <c r="DX65" s="1" t="s">
        <v>27</v>
      </c>
      <c r="DY65" s="13">
        <f>COUNTIFS(DO87:EK87,"YES",DO89:EK89,"NO")</f>
        <v>20</v>
      </c>
      <c r="EV65" s="1" t="s">
        <v>142</v>
      </c>
      <c r="EX65" s="1" t="s">
        <v>27</v>
      </c>
      <c r="EY65" s="13">
        <f>EY62-EY64</f>
        <v>20</v>
      </c>
    </row>
    <row r="66" spans="2:167" x14ac:dyDescent="0.25">
      <c r="B66" s="37" t="s">
        <v>163</v>
      </c>
      <c r="D66" s="1" t="s">
        <v>164</v>
      </c>
      <c r="E66" s="10">
        <f>2800+(1-E59^2)*350</f>
        <v>3009.4028962507437</v>
      </c>
      <c r="J66" s="38"/>
      <c r="AV66" s="1" t="s">
        <v>143</v>
      </c>
      <c r="AX66" s="1" t="s">
        <v>40</v>
      </c>
      <c r="AY66" s="13">
        <f>AY65*$J70</f>
        <v>615.60000000000014</v>
      </c>
      <c r="BV66" s="1" t="s">
        <v>143</v>
      </c>
      <c r="BX66" s="1" t="s">
        <v>40</v>
      </c>
      <c r="BY66" s="13">
        <f>BY65*$J70</f>
        <v>583.20000000000005</v>
      </c>
      <c r="CV66" s="1" t="s">
        <v>143</v>
      </c>
      <c r="CX66" s="1" t="s">
        <v>40</v>
      </c>
      <c r="CY66" s="13">
        <f>CY65*$J70</f>
        <v>648.00000000000011</v>
      </c>
      <c r="DV66" s="1" t="s">
        <v>143</v>
      </c>
      <c r="DX66" s="1" t="s">
        <v>40</v>
      </c>
      <c r="DY66" s="13">
        <f>DY65*$J70</f>
        <v>648.00000000000011</v>
      </c>
      <c r="EV66" s="1" t="s">
        <v>143</v>
      </c>
      <c r="EX66" s="1" t="s">
        <v>40</v>
      </c>
      <c r="EY66" s="13">
        <f>EY65*$J70</f>
        <v>648.00000000000011</v>
      </c>
    </row>
    <row r="67" spans="2:167" x14ac:dyDescent="0.25">
      <c r="B67" s="37"/>
      <c r="J67" s="38"/>
      <c r="EV67" s="1" t="s">
        <v>193</v>
      </c>
      <c r="EY67" s="112">
        <f>EY65/FK72</f>
        <v>0.83333333333333337</v>
      </c>
    </row>
    <row r="68" spans="2:167" x14ac:dyDescent="0.25">
      <c r="B68" s="62" t="s">
        <v>25</v>
      </c>
      <c r="C68" s="9"/>
      <c r="D68" s="9"/>
      <c r="E68" s="9"/>
      <c r="F68" s="9"/>
      <c r="G68" s="9"/>
      <c r="H68" s="9"/>
      <c r="I68" s="9"/>
      <c r="J68" s="63"/>
    </row>
    <row r="69" spans="2:167" x14ac:dyDescent="0.25">
      <c r="B69" s="54" t="s">
        <v>17</v>
      </c>
      <c r="G69" s="2" t="s">
        <v>26</v>
      </c>
      <c r="J69" s="38"/>
    </row>
    <row r="70" spans="2:167" x14ac:dyDescent="0.25">
      <c r="B70" s="64" t="s">
        <v>112</v>
      </c>
      <c r="D70" s="1" t="s">
        <v>18</v>
      </c>
      <c r="E70" s="10">
        <v>180</v>
      </c>
      <c r="G70" s="1" t="s">
        <v>38</v>
      </c>
      <c r="I70" s="1" t="s">
        <v>37</v>
      </c>
      <c r="J70" s="13">
        <f>E82*J80</f>
        <v>32.400000000000006</v>
      </c>
    </row>
    <row r="71" spans="2:167" ht="21" x14ac:dyDescent="0.35">
      <c r="B71" s="37" t="s">
        <v>113</v>
      </c>
      <c r="D71" s="1" t="s">
        <v>21</v>
      </c>
      <c r="E71" s="10">
        <v>1</v>
      </c>
      <c r="G71" s="1" t="s">
        <v>39</v>
      </c>
      <c r="I71" s="1" t="s">
        <v>40</v>
      </c>
      <c r="J71" s="13">
        <f>J70*E78</f>
        <v>550.80000000000007</v>
      </c>
      <c r="N71" s="131" t="s">
        <v>169</v>
      </c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N71" s="131" t="s">
        <v>170</v>
      </c>
      <c r="AO71" s="131"/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  <c r="BE71" s="131"/>
      <c r="BF71" s="131"/>
      <c r="BG71" s="131"/>
      <c r="BH71" s="131"/>
      <c r="BI71" s="131"/>
      <c r="BJ71" s="131"/>
      <c r="BK71" s="131"/>
      <c r="BN71" s="131" t="s">
        <v>176</v>
      </c>
      <c r="BO71" s="131"/>
      <c r="BP71" s="131"/>
      <c r="BQ71" s="131"/>
      <c r="BR71" s="131"/>
      <c r="BS71" s="131"/>
      <c r="BT71" s="131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1"/>
      <c r="CH71" s="131"/>
      <c r="CI71" s="131"/>
      <c r="CJ71" s="131"/>
      <c r="CK71" s="131"/>
      <c r="CN71" s="131" t="s">
        <v>177</v>
      </c>
      <c r="CO71" s="131"/>
      <c r="CP71" s="131"/>
      <c r="CQ71" s="131"/>
      <c r="CR71" s="131"/>
      <c r="CS71" s="131"/>
      <c r="CT71" s="131"/>
      <c r="CU71" s="131"/>
      <c r="CV71" s="131"/>
      <c r="CW71" s="131"/>
      <c r="CX71" s="131"/>
      <c r="CY71" s="131"/>
      <c r="CZ71" s="131"/>
      <c r="DA71" s="131"/>
      <c r="DB71" s="131"/>
      <c r="DC71" s="131"/>
      <c r="DD71" s="131"/>
      <c r="DE71" s="131"/>
      <c r="DF71" s="131"/>
      <c r="DG71" s="131"/>
      <c r="DH71" s="131"/>
      <c r="DI71" s="131"/>
      <c r="DJ71" s="131"/>
      <c r="DK71" s="131"/>
      <c r="DN71" s="131" t="s">
        <v>178</v>
      </c>
      <c r="DO71" s="131"/>
      <c r="DP71" s="131"/>
      <c r="DQ71" s="131"/>
      <c r="DR71" s="131"/>
      <c r="DS71" s="131"/>
      <c r="DT71" s="131"/>
      <c r="DU71" s="131"/>
      <c r="DV71" s="131"/>
      <c r="DW71" s="131"/>
      <c r="DX71" s="131"/>
      <c r="DY71" s="131"/>
      <c r="DZ71" s="131"/>
      <c r="EA71" s="131"/>
      <c r="EB71" s="131"/>
      <c r="EC71" s="131"/>
      <c r="ED71" s="131"/>
      <c r="EE71" s="131"/>
      <c r="EF71" s="131"/>
      <c r="EG71" s="131"/>
      <c r="EH71" s="131"/>
      <c r="EI71" s="131"/>
      <c r="EJ71" s="131"/>
      <c r="EK71" s="131"/>
      <c r="EN71" s="131" t="s">
        <v>253</v>
      </c>
      <c r="EO71" s="131"/>
      <c r="EP71" s="131"/>
      <c r="EQ71" s="131"/>
      <c r="ER71" s="131"/>
      <c r="ES71" s="131"/>
      <c r="ET71" s="131"/>
      <c r="EU71" s="131"/>
      <c r="EV71" s="131"/>
      <c r="EW71" s="131"/>
      <c r="EX71" s="131"/>
      <c r="EY71" s="131"/>
      <c r="EZ71" s="131"/>
      <c r="FA71" s="131"/>
      <c r="FB71" s="131"/>
      <c r="FC71" s="131"/>
      <c r="FD71" s="131"/>
      <c r="FE71" s="131"/>
      <c r="FF71" s="131"/>
      <c r="FG71" s="131"/>
      <c r="FH71" s="131"/>
      <c r="FI71" s="131"/>
      <c r="FJ71" s="131"/>
      <c r="FK71" s="131"/>
    </row>
    <row r="72" spans="2:167" x14ac:dyDescent="0.25">
      <c r="B72" s="37" t="s">
        <v>116</v>
      </c>
      <c r="D72" s="1" t="s">
        <v>44</v>
      </c>
      <c r="E72" s="57">
        <f>E82*J80/E70</f>
        <v>0.18000000000000002</v>
      </c>
      <c r="G72" s="1" t="s">
        <v>74</v>
      </c>
      <c r="I72" s="1" t="s">
        <v>73</v>
      </c>
      <c r="J72" s="29">
        <f>J71*365</f>
        <v>201042.00000000003</v>
      </c>
      <c r="L72" s="9" t="s">
        <v>54</v>
      </c>
      <c r="M72" s="9"/>
      <c r="N72" s="9">
        <v>1</v>
      </c>
      <c r="O72" s="9">
        <v>2</v>
      </c>
      <c r="P72" s="9">
        <v>3</v>
      </c>
      <c r="Q72" s="9">
        <v>4</v>
      </c>
      <c r="R72" s="9">
        <v>5</v>
      </c>
      <c r="S72" s="9">
        <v>6</v>
      </c>
      <c r="T72" s="9">
        <v>7</v>
      </c>
      <c r="U72" s="9">
        <v>8</v>
      </c>
      <c r="V72" s="94">
        <v>9</v>
      </c>
      <c r="W72" s="94">
        <v>10</v>
      </c>
      <c r="X72" s="94">
        <v>11</v>
      </c>
      <c r="Y72" s="94">
        <v>12</v>
      </c>
      <c r="Z72" s="94">
        <v>13</v>
      </c>
      <c r="AA72" s="94">
        <v>14</v>
      </c>
      <c r="AB72" s="94">
        <v>15</v>
      </c>
      <c r="AC72" s="94">
        <v>16</v>
      </c>
      <c r="AD72" s="94">
        <v>17</v>
      </c>
      <c r="AE72" s="94">
        <v>18</v>
      </c>
      <c r="AF72" s="94">
        <v>19</v>
      </c>
      <c r="AG72" s="94">
        <v>20</v>
      </c>
      <c r="AH72" s="94">
        <v>21</v>
      </c>
      <c r="AI72" s="94">
        <v>22</v>
      </c>
      <c r="AJ72" s="9">
        <v>23</v>
      </c>
      <c r="AK72" s="9">
        <v>24</v>
      </c>
      <c r="AL72" s="9" t="s">
        <v>54</v>
      </c>
      <c r="AM72" s="9"/>
      <c r="AN72" s="9">
        <v>1</v>
      </c>
      <c r="AO72" s="9">
        <v>2</v>
      </c>
      <c r="AP72" s="9">
        <v>3</v>
      </c>
      <c r="AQ72" s="9">
        <v>4</v>
      </c>
      <c r="AR72" s="9">
        <v>5</v>
      </c>
      <c r="AS72" s="9">
        <v>6</v>
      </c>
      <c r="AT72" s="9">
        <v>7</v>
      </c>
      <c r="AU72" s="9">
        <v>8</v>
      </c>
      <c r="AV72" s="94">
        <v>9</v>
      </c>
      <c r="AW72" s="94">
        <v>10</v>
      </c>
      <c r="AX72" s="94">
        <v>11</v>
      </c>
      <c r="AY72" s="94">
        <v>12</v>
      </c>
      <c r="AZ72" s="94">
        <v>13</v>
      </c>
      <c r="BA72" s="94">
        <v>14</v>
      </c>
      <c r="BB72" s="94">
        <v>15</v>
      </c>
      <c r="BC72" s="94">
        <v>16</v>
      </c>
      <c r="BD72" s="94">
        <v>17</v>
      </c>
      <c r="BE72" s="94">
        <v>18</v>
      </c>
      <c r="BF72" s="94">
        <v>19</v>
      </c>
      <c r="BG72" s="94">
        <v>20</v>
      </c>
      <c r="BH72" s="94">
        <v>21</v>
      </c>
      <c r="BI72" s="94">
        <v>22</v>
      </c>
      <c r="BJ72" s="9">
        <v>23</v>
      </c>
      <c r="BK72" s="9">
        <v>24</v>
      </c>
      <c r="BL72" s="9" t="s">
        <v>54</v>
      </c>
      <c r="BM72" s="9"/>
      <c r="BN72" s="9">
        <v>1</v>
      </c>
      <c r="BO72" s="9">
        <v>2</v>
      </c>
      <c r="BP72" s="9">
        <v>3</v>
      </c>
      <c r="BQ72" s="9">
        <v>4</v>
      </c>
      <c r="BR72" s="9">
        <v>5</v>
      </c>
      <c r="BS72" s="9">
        <v>6</v>
      </c>
      <c r="BT72" s="9">
        <v>7</v>
      </c>
      <c r="BU72" s="9">
        <v>8</v>
      </c>
      <c r="BV72" s="94">
        <v>9</v>
      </c>
      <c r="BW72" s="94">
        <v>10</v>
      </c>
      <c r="BX72" s="94">
        <v>11</v>
      </c>
      <c r="BY72" s="94">
        <v>12</v>
      </c>
      <c r="BZ72" s="94">
        <v>13</v>
      </c>
      <c r="CA72" s="94">
        <v>14</v>
      </c>
      <c r="CB72" s="94">
        <v>15</v>
      </c>
      <c r="CC72" s="94">
        <v>16</v>
      </c>
      <c r="CD72" s="94">
        <v>17</v>
      </c>
      <c r="CE72" s="94">
        <v>18</v>
      </c>
      <c r="CF72" s="94">
        <v>19</v>
      </c>
      <c r="CG72" s="94">
        <v>20</v>
      </c>
      <c r="CH72" s="94">
        <v>21</v>
      </c>
      <c r="CI72" s="94">
        <v>22</v>
      </c>
      <c r="CJ72" s="9">
        <v>23</v>
      </c>
      <c r="CK72" s="9">
        <v>24</v>
      </c>
      <c r="CL72" s="9" t="s">
        <v>54</v>
      </c>
      <c r="CM72" s="9"/>
      <c r="CN72" s="9">
        <v>1</v>
      </c>
      <c r="CO72" s="9">
        <v>2</v>
      </c>
      <c r="CP72" s="9">
        <v>3</v>
      </c>
      <c r="CQ72" s="9">
        <v>4</v>
      </c>
      <c r="CR72" s="9">
        <v>5</v>
      </c>
      <c r="CS72" s="9">
        <v>6</v>
      </c>
      <c r="CT72" s="9">
        <v>7</v>
      </c>
      <c r="CU72" s="9">
        <v>8</v>
      </c>
      <c r="CV72" s="94">
        <v>9</v>
      </c>
      <c r="CW72" s="94">
        <v>10</v>
      </c>
      <c r="CX72" s="94">
        <v>11</v>
      </c>
      <c r="CY72" s="94">
        <v>12</v>
      </c>
      <c r="CZ72" s="94">
        <v>13</v>
      </c>
      <c r="DA72" s="94">
        <v>14</v>
      </c>
      <c r="DB72" s="94">
        <v>15</v>
      </c>
      <c r="DC72" s="94">
        <v>16</v>
      </c>
      <c r="DD72" s="94">
        <v>17</v>
      </c>
      <c r="DE72" s="94">
        <v>18</v>
      </c>
      <c r="DF72" s="94">
        <v>19</v>
      </c>
      <c r="DG72" s="94">
        <v>20</v>
      </c>
      <c r="DH72" s="94">
        <v>21</v>
      </c>
      <c r="DI72" s="94">
        <v>22</v>
      </c>
      <c r="DJ72" s="9">
        <v>23</v>
      </c>
      <c r="DK72" s="9">
        <v>24</v>
      </c>
      <c r="DL72" s="9" t="s">
        <v>54</v>
      </c>
      <c r="DM72" s="9"/>
      <c r="DN72" s="9">
        <v>1</v>
      </c>
      <c r="DO72" s="9">
        <v>2</v>
      </c>
      <c r="DP72" s="9">
        <v>3</v>
      </c>
      <c r="DQ72" s="9">
        <v>4</v>
      </c>
      <c r="DR72" s="9">
        <v>5</v>
      </c>
      <c r="DS72" s="9">
        <v>6</v>
      </c>
      <c r="DT72" s="9">
        <v>7</v>
      </c>
      <c r="DU72" s="9">
        <v>8</v>
      </c>
      <c r="DV72" s="94">
        <v>9</v>
      </c>
      <c r="DW72" s="94">
        <v>10</v>
      </c>
      <c r="DX72" s="94">
        <v>11</v>
      </c>
      <c r="DY72" s="94">
        <v>12</v>
      </c>
      <c r="DZ72" s="94">
        <v>13</v>
      </c>
      <c r="EA72" s="94">
        <v>14</v>
      </c>
      <c r="EB72" s="94">
        <v>15</v>
      </c>
      <c r="EC72" s="94">
        <v>16</v>
      </c>
      <c r="ED72" s="94">
        <v>17</v>
      </c>
      <c r="EE72" s="94">
        <v>18</v>
      </c>
      <c r="EF72" s="94">
        <v>19</v>
      </c>
      <c r="EG72" s="94">
        <v>20</v>
      </c>
      <c r="EH72" s="94">
        <v>21</v>
      </c>
      <c r="EI72" s="94">
        <v>22</v>
      </c>
      <c r="EJ72" s="9">
        <v>23</v>
      </c>
      <c r="EK72" s="9">
        <v>24</v>
      </c>
      <c r="EL72" s="9" t="s">
        <v>54</v>
      </c>
      <c r="EM72" s="9"/>
      <c r="EN72" s="9">
        <v>1</v>
      </c>
      <c r="EO72" s="9">
        <v>2</v>
      </c>
      <c r="EP72" s="9">
        <v>3</v>
      </c>
      <c r="EQ72" s="9">
        <v>4</v>
      </c>
      <c r="ER72" s="9">
        <v>5</v>
      </c>
      <c r="ES72" s="9">
        <v>6</v>
      </c>
      <c r="ET72" s="9">
        <v>7</v>
      </c>
      <c r="EU72" s="9">
        <v>8</v>
      </c>
      <c r="EV72" s="94">
        <v>9</v>
      </c>
      <c r="EW72" s="94">
        <v>10</v>
      </c>
      <c r="EX72" s="94">
        <v>11</v>
      </c>
      <c r="EY72" s="94">
        <v>12</v>
      </c>
      <c r="EZ72" s="94">
        <v>13</v>
      </c>
      <c r="FA72" s="94">
        <v>14</v>
      </c>
      <c r="FB72" s="94">
        <v>15</v>
      </c>
      <c r="FC72" s="94">
        <v>16</v>
      </c>
      <c r="FD72" s="94">
        <v>17</v>
      </c>
      <c r="FE72" s="94">
        <v>18</v>
      </c>
      <c r="FF72" s="94">
        <v>19</v>
      </c>
      <c r="FG72" s="94">
        <v>20</v>
      </c>
      <c r="FH72" s="94">
        <v>21</v>
      </c>
      <c r="FI72" s="94">
        <v>22</v>
      </c>
      <c r="FJ72" s="9">
        <v>23</v>
      </c>
      <c r="FK72" s="9">
        <v>24</v>
      </c>
    </row>
    <row r="73" spans="2:167" x14ac:dyDescent="0.25">
      <c r="B73" s="64" t="s">
        <v>114</v>
      </c>
      <c r="D73" s="1" t="s">
        <v>18</v>
      </c>
      <c r="E73" s="10">
        <v>50</v>
      </c>
      <c r="J73" s="38"/>
      <c r="L73" s="1" t="s">
        <v>0</v>
      </c>
      <c r="M73" s="1" t="s">
        <v>14</v>
      </c>
      <c r="N73" s="25">
        <f>'Hourly Solar Generation'!B$7</f>
        <v>0</v>
      </c>
      <c r="O73" s="25">
        <f>'Hourly Solar Generation'!C$7</f>
        <v>0</v>
      </c>
      <c r="P73" s="25">
        <f>'Hourly Solar Generation'!D$7</f>
        <v>0</v>
      </c>
      <c r="Q73" s="25">
        <f>'Hourly Solar Generation'!E$7</f>
        <v>0</v>
      </c>
      <c r="R73" s="25">
        <f>'Hourly Solar Generation'!F$7</f>
        <v>0</v>
      </c>
      <c r="S73" s="25">
        <f>'Hourly Solar Generation'!G$7</f>
        <v>0</v>
      </c>
      <c r="T73" s="25">
        <f>'Hourly Solar Generation'!H$7</f>
        <v>0.60125993476725614</v>
      </c>
      <c r="U73" s="25">
        <f>'Hourly Solar Generation'!I$7</f>
        <v>3.2511358553673033</v>
      </c>
      <c r="V73" s="25">
        <f>'Hourly Solar Generation'!J$7</f>
        <v>6.5765555423031925</v>
      </c>
      <c r="W73" s="25">
        <f>'Hourly Solar Generation'!K$7</f>
        <v>9.3690830954347604</v>
      </c>
      <c r="X73" s="25">
        <f>'Hourly Solar Generation'!L$7</f>
        <v>11.161920035852591</v>
      </c>
      <c r="Y73" s="25">
        <f>'Hourly Solar Generation'!M$7</f>
        <v>12.284505368221838</v>
      </c>
      <c r="Z73" s="25">
        <f>'Hourly Solar Generation'!N$7</f>
        <v>12.06174327131189</v>
      </c>
      <c r="AA73" s="25">
        <f>'Hourly Solar Generation'!O$7</f>
        <v>11.062207072972766</v>
      </c>
      <c r="AB73" s="25">
        <f>'Hourly Solar Generation'!P$7</f>
        <v>9.2571360202939594</v>
      </c>
      <c r="AC73" s="25">
        <f>'Hourly Solar Generation'!Q$7</f>
        <v>6.5439717189479678</v>
      </c>
      <c r="AD73" s="25">
        <f>'Hourly Solar Generation'!R$7</f>
        <v>3.6435219037397841</v>
      </c>
      <c r="AE73" s="25">
        <f>'Hourly Solar Generation'!S$7</f>
        <v>1.1454678216573344</v>
      </c>
      <c r="AF73" s="25">
        <f>'Hourly Solar Generation'!T$7</f>
        <v>3.5492359129355652E-2</v>
      </c>
      <c r="AG73" s="25">
        <f>'Hourly Solar Generation'!U$7</f>
        <v>0</v>
      </c>
      <c r="AH73" s="25">
        <f>'Hourly Solar Generation'!V$7</f>
        <v>0</v>
      </c>
      <c r="AI73" s="25">
        <f>'Hourly Solar Generation'!W$7</f>
        <v>0</v>
      </c>
      <c r="AJ73" s="25">
        <f>'Hourly Solar Generation'!X$7</f>
        <v>0</v>
      </c>
      <c r="AK73" s="25">
        <f>'Hourly Solar Generation'!Y$7</f>
        <v>0</v>
      </c>
      <c r="AL73" s="1" t="s">
        <v>0</v>
      </c>
      <c r="AM73" s="1" t="s">
        <v>14</v>
      </c>
      <c r="AN73" s="25">
        <f>N73</f>
        <v>0</v>
      </c>
      <c r="AO73" s="25">
        <f t="shared" ref="AO73" si="753">O73</f>
        <v>0</v>
      </c>
      <c r="AP73" s="25">
        <f t="shared" ref="AP73" si="754">P73</f>
        <v>0</v>
      </c>
      <c r="AQ73" s="25">
        <f t="shared" ref="AQ73" si="755">Q73</f>
        <v>0</v>
      </c>
      <c r="AR73" s="25">
        <f t="shared" ref="AR73" si="756">R73</f>
        <v>0</v>
      </c>
      <c r="AS73" s="25">
        <f t="shared" ref="AS73" si="757">S73</f>
        <v>0</v>
      </c>
      <c r="AT73" s="25">
        <f t="shared" ref="AT73" si="758">T73</f>
        <v>0.60125993476725614</v>
      </c>
      <c r="AU73" s="25">
        <f t="shared" ref="AU73" si="759">U73</f>
        <v>3.2511358553673033</v>
      </c>
      <c r="AV73" s="25">
        <f t="shared" ref="AV73" si="760">V73</f>
        <v>6.5765555423031925</v>
      </c>
      <c r="AW73" s="25">
        <f t="shared" ref="AW73" si="761">W73</f>
        <v>9.3690830954347604</v>
      </c>
      <c r="AX73" s="25">
        <f t="shared" ref="AX73" si="762">X73</f>
        <v>11.161920035852591</v>
      </c>
      <c r="AY73" s="25">
        <f t="shared" ref="AY73" si="763">Y73</f>
        <v>12.284505368221838</v>
      </c>
      <c r="AZ73" s="25">
        <f t="shared" ref="AZ73" si="764">Z73</f>
        <v>12.06174327131189</v>
      </c>
      <c r="BA73" s="25">
        <f t="shared" ref="BA73" si="765">AA73</f>
        <v>11.062207072972766</v>
      </c>
      <c r="BB73" s="25">
        <f t="shared" ref="BB73" si="766">AB73</f>
        <v>9.2571360202939594</v>
      </c>
      <c r="BC73" s="25">
        <f t="shared" ref="BC73" si="767">AC73</f>
        <v>6.5439717189479678</v>
      </c>
      <c r="BD73" s="25">
        <f t="shared" ref="BD73" si="768">AD73</f>
        <v>3.6435219037397841</v>
      </c>
      <c r="BE73" s="25">
        <f t="shared" ref="BE73" si="769">AE73</f>
        <v>1.1454678216573344</v>
      </c>
      <c r="BF73" s="25">
        <f t="shared" ref="BF73" si="770">AF73</f>
        <v>3.5492359129355652E-2</v>
      </c>
      <c r="BG73" s="25">
        <f t="shared" ref="BG73" si="771">AG73</f>
        <v>0</v>
      </c>
      <c r="BH73" s="25">
        <f t="shared" ref="BH73" si="772">AH73</f>
        <v>0</v>
      </c>
      <c r="BI73" s="25">
        <f t="shared" ref="BI73" si="773">AI73</f>
        <v>0</v>
      </c>
      <c r="BJ73" s="25">
        <f t="shared" ref="BJ73" si="774">AJ73</f>
        <v>0</v>
      </c>
      <c r="BK73" s="25">
        <f t="shared" ref="BK73" si="775">AK73</f>
        <v>0</v>
      </c>
      <c r="BL73" s="1" t="s">
        <v>0</v>
      </c>
      <c r="BM73" s="1" t="s">
        <v>14</v>
      </c>
      <c r="BN73" s="25">
        <f>AN73</f>
        <v>0</v>
      </c>
      <c r="BO73" s="25">
        <f t="shared" ref="BO73" si="776">AO73</f>
        <v>0</v>
      </c>
      <c r="BP73" s="25">
        <f t="shared" ref="BP73" si="777">AP73</f>
        <v>0</v>
      </c>
      <c r="BQ73" s="25">
        <f t="shared" ref="BQ73" si="778">AQ73</f>
        <v>0</v>
      </c>
      <c r="BR73" s="25">
        <f t="shared" ref="BR73" si="779">AR73</f>
        <v>0</v>
      </c>
      <c r="BS73" s="25">
        <f t="shared" ref="BS73" si="780">AS73</f>
        <v>0</v>
      </c>
      <c r="BT73" s="25">
        <f t="shared" ref="BT73" si="781">AT73</f>
        <v>0.60125993476725614</v>
      </c>
      <c r="BU73" s="25">
        <f t="shared" ref="BU73" si="782">AU73</f>
        <v>3.2511358553673033</v>
      </c>
      <c r="BV73" s="25">
        <f t="shared" ref="BV73" si="783">AV73</f>
        <v>6.5765555423031925</v>
      </c>
      <c r="BW73" s="25">
        <f t="shared" ref="BW73" si="784">AW73</f>
        <v>9.3690830954347604</v>
      </c>
      <c r="BX73" s="25">
        <f t="shared" ref="BX73" si="785">AX73</f>
        <v>11.161920035852591</v>
      </c>
      <c r="BY73" s="25">
        <f t="shared" ref="BY73" si="786">AY73</f>
        <v>12.284505368221838</v>
      </c>
      <c r="BZ73" s="25">
        <f t="shared" ref="BZ73" si="787">AZ73</f>
        <v>12.06174327131189</v>
      </c>
      <c r="CA73" s="25">
        <f t="shared" ref="CA73" si="788">BA73</f>
        <v>11.062207072972766</v>
      </c>
      <c r="CB73" s="25">
        <f t="shared" ref="CB73" si="789">BB73</f>
        <v>9.2571360202939594</v>
      </c>
      <c r="CC73" s="25">
        <f t="shared" ref="CC73" si="790">BC73</f>
        <v>6.5439717189479678</v>
      </c>
      <c r="CD73" s="25">
        <f t="shared" ref="CD73" si="791">BD73</f>
        <v>3.6435219037397841</v>
      </c>
      <c r="CE73" s="25">
        <f t="shared" ref="CE73" si="792">BE73</f>
        <v>1.1454678216573344</v>
      </c>
      <c r="CF73" s="25">
        <f t="shared" ref="CF73" si="793">BF73</f>
        <v>3.5492359129355652E-2</v>
      </c>
      <c r="CG73" s="25">
        <f t="shared" ref="CG73" si="794">BG73</f>
        <v>0</v>
      </c>
      <c r="CH73" s="25">
        <f t="shared" ref="CH73" si="795">BH73</f>
        <v>0</v>
      </c>
      <c r="CI73" s="25">
        <f t="shared" ref="CI73" si="796">BI73</f>
        <v>0</v>
      </c>
      <c r="CJ73" s="25">
        <f t="shared" ref="CJ73" si="797">BJ73</f>
        <v>0</v>
      </c>
      <c r="CK73" s="25">
        <f t="shared" ref="CK73" si="798">BK73</f>
        <v>0</v>
      </c>
      <c r="CL73" s="1" t="s">
        <v>0</v>
      </c>
      <c r="CM73" s="1" t="s">
        <v>14</v>
      </c>
      <c r="CN73" s="25">
        <f>BN73</f>
        <v>0</v>
      </c>
      <c r="CO73" s="25">
        <f t="shared" ref="CO73" si="799">BO73</f>
        <v>0</v>
      </c>
      <c r="CP73" s="25">
        <f t="shared" ref="CP73" si="800">BP73</f>
        <v>0</v>
      </c>
      <c r="CQ73" s="25">
        <f t="shared" ref="CQ73" si="801">BQ73</f>
        <v>0</v>
      </c>
      <c r="CR73" s="25">
        <f t="shared" ref="CR73" si="802">BR73</f>
        <v>0</v>
      </c>
      <c r="CS73" s="25">
        <f t="shared" ref="CS73" si="803">BS73</f>
        <v>0</v>
      </c>
      <c r="CT73" s="25">
        <f t="shared" ref="CT73" si="804">BT73</f>
        <v>0.60125993476725614</v>
      </c>
      <c r="CU73" s="25">
        <f t="shared" ref="CU73" si="805">BU73</f>
        <v>3.2511358553673033</v>
      </c>
      <c r="CV73" s="25">
        <f t="shared" ref="CV73" si="806">BV73</f>
        <v>6.5765555423031925</v>
      </c>
      <c r="CW73" s="25">
        <f t="shared" ref="CW73" si="807">BW73</f>
        <v>9.3690830954347604</v>
      </c>
      <c r="CX73" s="25">
        <f t="shared" ref="CX73" si="808">BX73</f>
        <v>11.161920035852591</v>
      </c>
      <c r="CY73" s="25">
        <f t="shared" ref="CY73" si="809">BY73</f>
        <v>12.284505368221838</v>
      </c>
      <c r="CZ73" s="25">
        <f t="shared" ref="CZ73" si="810">BZ73</f>
        <v>12.06174327131189</v>
      </c>
      <c r="DA73" s="25">
        <f t="shared" ref="DA73" si="811">CA73</f>
        <v>11.062207072972766</v>
      </c>
      <c r="DB73" s="25">
        <f t="shared" ref="DB73" si="812">CB73</f>
        <v>9.2571360202939594</v>
      </c>
      <c r="DC73" s="25">
        <f t="shared" ref="DC73" si="813">CC73</f>
        <v>6.5439717189479678</v>
      </c>
      <c r="DD73" s="25">
        <f t="shared" ref="DD73" si="814">CD73</f>
        <v>3.6435219037397841</v>
      </c>
      <c r="DE73" s="25">
        <f t="shared" ref="DE73" si="815">CE73</f>
        <v>1.1454678216573344</v>
      </c>
      <c r="DF73" s="25">
        <f t="shared" ref="DF73" si="816">CF73</f>
        <v>3.5492359129355652E-2</v>
      </c>
      <c r="DG73" s="25">
        <f t="shared" ref="DG73" si="817">CG73</f>
        <v>0</v>
      </c>
      <c r="DH73" s="25">
        <f t="shared" ref="DH73" si="818">CH73</f>
        <v>0</v>
      </c>
      <c r="DI73" s="25">
        <f t="shared" ref="DI73" si="819">CI73</f>
        <v>0</v>
      </c>
      <c r="DJ73" s="25">
        <f t="shared" ref="DJ73" si="820">CJ73</f>
        <v>0</v>
      </c>
      <c r="DK73" s="25">
        <f t="shared" ref="DK73" si="821">CK73</f>
        <v>0</v>
      </c>
      <c r="DL73" s="1" t="s">
        <v>0</v>
      </c>
      <c r="DM73" s="1" t="s">
        <v>14</v>
      </c>
      <c r="DN73" s="25">
        <f>CN73</f>
        <v>0</v>
      </c>
      <c r="DO73" s="25">
        <f t="shared" ref="DO73" si="822">CO73</f>
        <v>0</v>
      </c>
      <c r="DP73" s="25">
        <f t="shared" ref="DP73" si="823">CP73</f>
        <v>0</v>
      </c>
      <c r="DQ73" s="25">
        <f t="shared" ref="DQ73" si="824">CQ73</f>
        <v>0</v>
      </c>
      <c r="DR73" s="25">
        <f t="shared" ref="DR73" si="825">CR73</f>
        <v>0</v>
      </c>
      <c r="DS73" s="25">
        <f t="shared" ref="DS73" si="826">CS73</f>
        <v>0</v>
      </c>
      <c r="DT73" s="25">
        <f t="shared" ref="DT73" si="827">CT73</f>
        <v>0.60125993476725614</v>
      </c>
      <c r="DU73" s="25">
        <f t="shared" ref="DU73" si="828">CU73</f>
        <v>3.2511358553673033</v>
      </c>
      <c r="DV73" s="25">
        <f t="shared" ref="DV73" si="829">CV73</f>
        <v>6.5765555423031925</v>
      </c>
      <c r="DW73" s="25">
        <f t="shared" ref="DW73" si="830">CW73</f>
        <v>9.3690830954347604</v>
      </c>
      <c r="DX73" s="25">
        <f t="shared" ref="DX73" si="831">CX73</f>
        <v>11.161920035852591</v>
      </c>
      <c r="DY73" s="25">
        <f t="shared" ref="DY73" si="832">CY73</f>
        <v>12.284505368221838</v>
      </c>
      <c r="DZ73" s="25">
        <f t="shared" ref="DZ73" si="833">CZ73</f>
        <v>12.06174327131189</v>
      </c>
      <c r="EA73" s="25">
        <f t="shared" ref="EA73" si="834">DA73</f>
        <v>11.062207072972766</v>
      </c>
      <c r="EB73" s="25">
        <f t="shared" ref="EB73" si="835">DB73</f>
        <v>9.2571360202939594</v>
      </c>
      <c r="EC73" s="25">
        <f t="shared" ref="EC73" si="836">DC73</f>
        <v>6.5439717189479678</v>
      </c>
      <c r="ED73" s="25">
        <f t="shared" ref="ED73" si="837">DD73</f>
        <v>3.6435219037397841</v>
      </c>
      <c r="EE73" s="25">
        <f t="shared" ref="EE73" si="838">DE73</f>
        <v>1.1454678216573344</v>
      </c>
      <c r="EF73" s="25">
        <f t="shared" ref="EF73" si="839">DF73</f>
        <v>3.5492359129355652E-2</v>
      </c>
      <c r="EG73" s="25">
        <f t="shared" ref="EG73" si="840">DG73</f>
        <v>0</v>
      </c>
      <c r="EH73" s="25">
        <f t="shared" ref="EH73" si="841">DH73</f>
        <v>0</v>
      </c>
      <c r="EI73" s="25">
        <f t="shared" ref="EI73" si="842">DI73</f>
        <v>0</v>
      </c>
      <c r="EJ73" s="25">
        <f t="shared" ref="EJ73" si="843">DJ73</f>
        <v>0</v>
      </c>
      <c r="EK73" s="25">
        <f t="shared" ref="EK73" si="844">DK73</f>
        <v>0</v>
      </c>
      <c r="EL73" s="1" t="s">
        <v>0</v>
      </c>
      <c r="EM73" s="1" t="s">
        <v>14</v>
      </c>
      <c r="EN73" s="25">
        <f>DN73</f>
        <v>0</v>
      </c>
      <c r="EO73" s="25">
        <f t="shared" ref="EO73" si="845">DO73</f>
        <v>0</v>
      </c>
      <c r="EP73" s="25">
        <f t="shared" ref="EP73" si="846">DP73</f>
        <v>0</v>
      </c>
      <c r="EQ73" s="25">
        <f t="shared" ref="EQ73" si="847">DQ73</f>
        <v>0</v>
      </c>
      <c r="ER73" s="25">
        <f t="shared" ref="ER73" si="848">DR73</f>
        <v>0</v>
      </c>
      <c r="ES73" s="25">
        <f t="shared" ref="ES73" si="849">DS73</f>
        <v>0</v>
      </c>
      <c r="ET73" s="25">
        <f t="shared" ref="ET73" si="850">DT73</f>
        <v>0.60125993476725614</v>
      </c>
      <c r="EU73" s="25">
        <f t="shared" ref="EU73" si="851">DU73</f>
        <v>3.2511358553673033</v>
      </c>
      <c r="EV73" s="25">
        <f t="shared" ref="EV73" si="852">DV73</f>
        <v>6.5765555423031925</v>
      </c>
      <c r="EW73" s="25">
        <f t="shared" ref="EW73" si="853">DW73</f>
        <v>9.3690830954347604</v>
      </c>
      <c r="EX73" s="25">
        <f t="shared" ref="EX73" si="854">DX73</f>
        <v>11.161920035852591</v>
      </c>
      <c r="EY73" s="25">
        <f t="shared" ref="EY73" si="855">DY73</f>
        <v>12.284505368221838</v>
      </c>
      <c r="EZ73" s="25">
        <f t="shared" ref="EZ73" si="856">DZ73</f>
        <v>12.06174327131189</v>
      </c>
      <c r="FA73" s="25">
        <f t="shared" ref="FA73" si="857">EA73</f>
        <v>11.062207072972766</v>
      </c>
      <c r="FB73" s="25">
        <f t="shared" ref="FB73" si="858">EB73</f>
        <v>9.2571360202939594</v>
      </c>
      <c r="FC73" s="25">
        <f t="shared" ref="FC73" si="859">EC73</f>
        <v>6.5439717189479678</v>
      </c>
      <c r="FD73" s="25">
        <f t="shared" ref="FD73" si="860">ED73</f>
        <v>3.6435219037397841</v>
      </c>
      <c r="FE73" s="25">
        <f t="shared" ref="FE73" si="861">EE73</f>
        <v>1.1454678216573344</v>
      </c>
      <c r="FF73" s="25">
        <f t="shared" ref="FF73" si="862">EF73</f>
        <v>3.5492359129355652E-2</v>
      </c>
      <c r="FG73" s="25">
        <f t="shared" ref="FG73" si="863">EG73</f>
        <v>0</v>
      </c>
      <c r="FH73" s="25">
        <f t="shared" ref="FH73" si="864">EH73</f>
        <v>0</v>
      </c>
      <c r="FI73" s="25">
        <f t="shared" ref="FI73" si="865">EI73</f>
        <v>0</v>
      </c>
      <c r="FJ73" s="25">
        <f t="shared" ref="FJ73" si="866">EJ73</f>
        <v>0</v>
      </c>
      <c r="FK73" s="25">
        <f t="shared" ref="FK73" si="867">EK73</f>
        <v>0</v>
      </c>
    </row>
    <row r="74" spans="2:167" x14ac:dyDescent="0.25">
      <c r="B74" s="37" t="s">
        <v>115</v>
      </c>
      <c r="D74" s="1" t="s">
        <v>21</v>
      </c>
      <c r="E74" s="10">
        <v>1</v>
      </c>
      <c r="G74" s="2" t="s">
        <v>67</v>
      </c>
      <c r="J74" s="38"/>
      <c r="L74" s="1" t="s">
        <v>137</v>
      </c>
      <c r="M74" s="1" t="s">
        <v>14</v>
      </c>
      <c r="N74" s="25">
        <f>$J65</f>
        <v>28.8</v>
      </c>
      <c r="O74" s="25">
        <f t="shared" ref="O74:U74" si="868">$J65</f>
        <v>28.8</v>
      </c>
      <c r="P74" s="25">
        <f t="shared" si="868"/>
        <v>28.8</v>
      </c>
      <c r="Q74" s="25">
        <f t="shared" si="868"/>
        <v>28.8</v>
      </c>
      <c r="R74" s="25">
        <f t="shared" si="868"/>
        <v>28.8</v>
      </c>
      <c r="S74" s="25">
        <f t="shared" si="868"/>
        <v>28.8</v>
      </c>
      <c r="T74" s="25">
        <f t="shared" si="868"/>
        <v>28.8</v>
      </c>
      <c r="U74" s="25">
        <f t="shared" si="868"/>
        <v>28.8</v>
      </c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>
        <f t="shared" ref="AJ74:AK74" si="869">$J65</f>
        <v>28.8</v>
      </c>
      <c r="AK74" s="25">
        <f t="shared" si="869"/>
        <v>28.8</v>
      </c>
      <c r="AL74" s="1" t="s">
        <v>137</v>
      </c>
      <c r="AM74" s="1" t="s">
        <v>14</v>
      </c>
      <c r="AN74" s="25">
        <f>$J65</f>
        <v>28.8</v>
      </c>
      <c r="AO74" s="25">
        <f t="shared" ref="AO74:AU74" si="870">$J65</f>
        <v>28.8</v>
      </c>
      <c r="AP74" s="25">
        <f t="shared" si="870"/>
        <v>28.8</v>
      </c>
      <c r="AQ74" s="25">
        <f t="shared" si="870"/>
        <v>28.8</v>
      </c>
      <c r="AR74" s="25">
        <f t="shared" si="870"/>
        <v>28.8</v>
      </c>
      <c r="AS74" s="25">
        <f t="shared" si="870"/>
        <v>28.8</v>
      </c>
      <c r="AT74" s="25">
        <f t="shared" si="870"/>
        <v>28.8</v>
      </c>
      <c r="AU74" s="25">
        <f t="shared" si="870"/>
        <v>28.8</v>
      </c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>
        <f t="shared" ref="BJ74:BK74" si="871">$J65</f>
        <v>28.8</v>
      </c>
      <c r="BK74" s="25">
        <f t="shared" si="871"/>
        <v>28.8</v>
      </c>
      <c r="BL74" s="1" t="s">
        <v>137</v>
      </c>
      <c r="BM74" s="1" t="s">
        <v>14</v>
      </c>
      <c r="BN74" s="25">
        <f>$J65</f>
        <v>28.8</v>
      </c>
      <c r="BO74" s="25">
        <f t="shared" ref="BO74:BU74" si="872">$J65</f>
        <v>28.8</v>
      </c>
      <c r="BP74" s="25">
        <f t="shared" si="872"/>
        <v>28.8</v>
      </c>
      <c r="BQ74" s="25">
        <f t="shared" si="872"/>
        <v>28.8</v>
      </c>
      <c r="BR74" s="25">
        <f t="shared" si="872"/>
        <v>28.8</v>
      </c>
      <c r="BS74" s="25">
        <f t="shared" si="872"/>
        <v>28.8</v>
      </c>
      <c r="BT74" s="25">
        <f t="shared" si="872"/>
        <v>28.8</v>
      </c>
      <c r="BU74" s="25">
        <f t="shared" si="872"/>
        <v>28.8</v>
      </c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>
        <f t="shared" ref="CJ74:CK74" si="873">$J65</f>
        <v>28.8</v>
      </c>
      <c r="CK74" s="25">
        <f t="shared" si="873"/>
        <v>28.8</v>
      </c>
      <c r="CL74" s="1" t="s">
        <v>137</v>
      </c>
      <c r="CM74" s="1" t="s">
        <v>14</v>
      </c>
      <c r="CN74" s="25">
        <f>$J65</f>
        <v>28.8</v>
      </c>
      <c r="CO74" s="25">
        <f t="shared" ref="CO74:CU74" si="874">$J65</f>
        <v>28.8</v>
      </c>
      <c r="CP74" s="25">
        <f t="shared" si="874"/>
        <v>28.8</v>
      </c>
      <c r="CQ74" s="25">
        <f t="shared" si="874"/>
        <v>28.8</v>
      </c>
      <c r="CR74" s="25">
        <f t="shared" si="874"/>
        <v>28.8</v>
      </c>
      <c r="CS74" s="25">
        <f t="shared" si="874"/>
        <v>28.8</v>
      </c>
      <c r="CT74" s="25">
        <f t="shared" si="874"/>
        <v>28.8</v>
      </c>
      <c r="CU74" s="25">
        <f t="shared" si="874"/>
        <v>28.8</v>
      </c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>
        <f t="shared" ref="DJ74:DK74" si="875">$J65</f>
        <v>28.8</v>
      </c>
      <c r="DK74" s="25">
        <f t="shared" si="875"/>
        <v>28.8</v>
      </c>
      <c r="DL74" s="1" t="s">
        <v>137</v>
      </c>
      <c r="DM74" s="1" t="s">
        <v>14</v>
      </c>
      <c r="DN74" s="25">
        <f>$J65</f>
        <v>28.8</v>
      </c>
      <c r="DO74" s="25">
        <f t="shared" ref="DO74:DU74" si="876">$J65</f>
        <v>28.8</v>
      </c>
      <c r="DP74" s="25">
        <f t="shared" si="876"/>
        <v>28.8</v>
      </c>
      <c r="DQ74" s="25">
        <f t="shared" si="876"/>
        <v>28.8</v>
      </c>
      <c r="DR74" s="25">
        <f t="shared" si="876"/>
        <v>28.8</v>
      </c>
      <c r="DS74" s="25">
        <f t="shared" si="876"/>
        <v>28.8</v>
      </c>
      <c r="DT74" s="25">
        <f t="shared" si="876"/>
        <v>28.8</v>
      </c>
      <c r="DU74" s="25">
        <f t="shared" si="876"/>
        <v>28.8</v>
      </c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>
        <f t="shared" ref="EJ74:EK74" si="877">$J65</f>
        <v>28.8</v>
      </c>
      <c r="EK74" s="25">
        <f t="shared" si="877"/>
        <v>28.8</v>
      </c>
      <c r="EL74" s="1" t="s">
        <v>137</v>
      </c>
      <c r="EM74" s="1" t="s">
        <v>14</v>
      </c>
      <c r="EN74" s="25">
        <f>$J65</f>
        <v>28.8</v>
      </c>
      <c r="EO74" s="25">
        <f t="shared" ref="EO74:EU74" si="878">$J65</f>
        <v>28.8</v>
      </c>
      <c r="EP74" s="25">
        <f t="shared" si="878"/>
        <v>28.8</v>
      </c>
      <c r="EQ74" s="25">
        <f t="shared" si="878"/>
        <v>28.8</v>
      </c>
      <c r="ER74" s="25">
        <f t="shared" si="878"/>
        <v>28.8</v>
      </c>
      <c r="ES74" s="25">
        <f t="shared" si="878"/>
        <v>28.8</v>
      </c>
      <c r="ET74" s="25">
        <f t="shared" si="878"/>
        <v>28.8</v>
      </c>
      <c r="EU74" s="25">
        <f t="shared" si="878"/>
        <v>28.8</v>
      </c>
      <c r="EV74" s="25"/>
      <c r="EW74" s="25"/>
      <c r="EX74" s="25"/>
      <c r="EY74" s="25"/>
      <c r="EZ74" s="25"/>
      <c r="FA74" s="25"/>
      <c r="FB74" s="25"/>
      <c r="FC74" s="25"/>
      <c r="FD74" s="25"/>
      <c r="FE74" s="25"/>
      <c r="FF74" s="25"/>
      <c r="FG74" s="25"/>
      <c r="FH74" s="25"/>
      <c r="FI74" s="25"/>
      <c r="FJ74" s="25">
        <f t="shared" ref="FJ74:FK74" si="879">$J65</f>
        <v>28.8</v>
      </c>
      <c r="FK74" s="25">
        <f t="shared" si="879"/>
        <v>28.8</v>
      </c>
    </row>
    <row r="75" spans="2:167" x14ac:dyDescent="0.25">
      <c r="B75" s="37" t="s">
        <v>117</v>
      </c>
      <c r="D75" s="1" t="s">
        <v>44</v>
      </c>
      <c r="E75" s="57">
        <f>E82*J80/E73</f>
        <v>0.64800000000000013</v>
      </c>
      <c r="G75" s="1" t="s">
        <v>107</v>
      </c>
      <c r="I75" s="1" t="s">
        <v>14</v>
      </c>
      <c r="J75" s="49">
        <f>SUM(N73:AK73)</f>
        <v>86.993999999999986</v>
      </c>
      <c r="L75" s="1" t="s">
        <v>133</v>
      </c>
      <c r="M75" s="1" t="s">
        <v>14</v>
      </c>
      <c r="V75" s="46">
        <f>IF(V79&gt;0, $J65,0)</f>
        <v>28.8</v>
      </c>
      <c r="W75" s="46">
        <f t="shared" ref="W75:AI75" si="880">IF(W79&gt;0, $J65,0)</f>
        <v>28.8</v>
      </c>
      <c r="X75" s="46">
        <f t="shared" si="880"/>
        <v>28.8</v>
      </c>
      <c r="Y75" s="46">
        <f t="shared" si="880"/>
        <v>28.8</v>
      </c>
      <c r="Z75" s="46">
        <f t="shared" si="880"/>
        <v>28.8</v>
      </c>
      <c r="AA75" s="46">
        <f t="shared" si="880"/>
        <v>28.8</v>
      </c>
      <c r="AB75" s="46">
        <f t="shared" si="880"/>
        <v>28.8</v>
      </c>
      <c r="AC75" s="46">
        <f t="shared" si="880"/>
        <v>28.8</v>
      </c>
      <c r="AD75" s="46">
        <f t="shared" si="880"/>
        <v>28.8</v>
      </c>
      <c r="AE75" s="46">
        <f t="shared" si="880"/>
        <v>28.8</v>
      </c>
      <c r="AF75" s="46">
        <f t="shared" si="880"/>
        <v>28.8</v>
      </c>
      <c r="AG75" s="46">
        <f t="shared" si="880"/>
        <v>28.8</v>
      </c>
      <c r="AH75" s="46">
        <f t="shared" si="880"/>
        <v>28.8</v>
      </c>
      <c r="AI75" s="46">
        <f t="shared" si="880"/>
        <v>28.8</v>
      </c>
      <c r="AL75" s="1" t="s">
        <v>133</v>
      </c>
      <c r="AM75" s="1" t="s">
        <v>14</v>
      </c>
      <c r="AV75" s="46">
        <f>IF(AV79&gt;0, $J65,0)</f>
        <v>28.8</v>
      </c>
      <c r="AW75" s="46">
        <f t="shared" ref="AW75:BI75" si="881">IF(AW79&gt;0, $J65,0)</f>
        <v>28.8</v>
      </c>
      <c r="AX75" s="46">
        <f t="shared" si="881"/>
        <v>28.8</v>
      </c>
      <c r="AY75" s="46">
        <f t="shared" si="881"/>
        <v>28.8</v>
      </c>
      <c r="AZ75" s="46">
        <f t="shared" si="881"/>
        <v>28.8</v>
      </c>
      <c r="BA75" s="46">
        <f t="shared" si="881"/>
        <v>28.8</v>
      </c>
      <c r="BB75" s="46">
        <f t="shared" si="881"/>
        <v>28.8</v>
      </c>
      <c r="BC75" s="46">
        <f t="shared" si="881"/>
        <v>28.8</v>
      </c>
      <c r="BD75" s="46">
        <f t="shared" si="881"/>
        <v>28.8</v>
      </c>
      <c r="BE75" s="46">
        <f t="shared" si="881"/>
        <v>28.8</v>
      </c>
      <c r="BF75" s="46">
        <f t="shared" si="881"/>
        <v>28.8</v>
      </c>
      <c r="BG75" s="46">
        <f t="shared" si="881"/>
        <v>28.8</v>
      </c>
      <c r="BH75" s="46">
        <f t="shared" si="881"/>
        <v>28.8</v>
      </c>
      <c r="BI75" s="46">
        <f t="shared" si="881"/>
        <v>28.8</v>
      </c>
      <c r="BL75" s="1" t="s">
        <v>133</v>
      </c>
      <c r="BM75" s="1" t="s">
        <v>14</v>
      </c>
      <c r="BV75" s="46">
        <f>IF(BV79&gt;0, $J65,0)</f>
        <v>28.8</v>
      </c>
      <c r="BW75" s="46">
        <f t="shared" ref="BW75:CI75" si="882">IF(BW79&gt;0, $J65,0)</f>
        <v>28.8</v>
      </c>
      <c r="BX75" s="46">
        <f t="shared" si="882"/>
        <v>28.8</v>
      </c>
      <c r="BY75" s="46">
        <f t="shared" si="882"/>
        <v>28.8</v>
      </c>
      <c r="BZ75" s="46">
        <f t="shared" si="882"/>
        <v>28.8</v>
      </c>
      <c r="CA75" s="46">
        <f t="shared" si="882"/>
        <v>28.8</v>
      </c>
      <c r="CB75" s="46">
        <f t="shared" si="882"/>
        <v>28.8</v>
      </c>
      <c r="CC75" s="46">
        <f t="shared" si="882"/>
        <v>28.8</v>
      </c>
      <c r="CD75" s="46">
        <f t="shared" si="882"/>
        <v>28.8</v>
      </c>
      <c r="CE75" s="46">
        <f t="shared" si="882"/>
        <v>28.8</v>
      </c>
      <c r="CF75" s="46">
        <f t="shared" si="882"/>
        <v>28.8</v>
      </c>
      <c r="CG75" s="46">
        <f t="shared" si="882"/>
        <v>28.8</v>
      </c>
      <c r="CH75" s="46">
        <f t="shared" si="882"/>
        <v>28.8</v>
      </c>
      <c r="CI75" s="46">
        <f t="shared" si="882"/>
        <v>28.8</v>
      </c>
      <c r="CL75" s="1" t="s">
        <v>133</v>
      </c>
      <c r="CM75" s="1" t="s">
        <v>14</v>
      </c>
      <c r="CV75" s="46">
        <f>IF(CV79&gt;0, $J65,0)</f>
        <v>28.8</v>
      </c>
      <c r="CW75" s="46">
        <f t="shared" ref="CW75:DI75" si="883">IF(CW79&gt;0, $J65,0)</f>
        <v>28.8</v>
      </c>
      <c r="CX75" s="46">
        <f t="shared" si="883"/>
        <v>28.8</v>
      </c>
      <c r="CY75" s="46">
        <f t="shared" si="883"/>
        <v>28.8</v>
      </c>
      <c r="CZ75" s="46">
        <f t="shared" si="883"/>
        <v>28.8</v>
      </c>
      <c r="DA75" s="46">
        <f t="shared" si="883"/>
        <v>28.8</v>
      </c>
      <c r="DB75" s="46">
        <f t="shared" si="883"/>
        <v>28.8</v>
      </c>
      <c r="DC75" s="46">
        <f t="shared" si="883"/>
        <v>28.8</v>
      </c>
      <c r="DD75" s="46">
        <f t="shared" si="883"/>
        <v>28.8</v>
      </c>
      <c r="DE75" s="46">
        <f t="shared" si="883"/>
        <v>28.8</v>
      </c>
      <c r="DF75" s="46">
        <f t="shared" si="883"/>
        <v>28.8</v>
      </c>
      <c r="DG75" s="46">
        <f t="shared" si="883"/>
        <v>28.8</v>
      </c>
      <c r="DH75" s="46">
        <f t="shared" si="883"/>
        <v>28.8</v>
      </c>
      <c r="DI75" s="46">
        <f t="shared" si="883"/>
        <v>28.8</v>
      </c>
      <c r="DL75" s="1" t="s">
        <v>133</v>
      </c>
      <c r="DM75" s="1" t="s">
        <v>14</v>
      </c>
      <c r="DV75" s="46">
        <f>IF(DV79&gt;0, $J65,0)</f>
        <v>28.8</v>
      </c>
      <c r="DW75" s="46">
        <f t="shared" ref="DW75:EI75" si="884">IF(DW79&gt;0, $J65,0)</f>
        <v>28.8</v>
      </c>
      <c r="DX75" s="46">
        <f t="shared" si="884"/>
        <v>28.8</v>
      </c>
      <c r="DY75" s="46">
        <f t="shared" si="884"/>
        <v>28.8</v>
      </c>
      <c r="DZ75" s="46">
        <f t="shared" si="884"/>
        <v>28.8</v>
      </c>
      <c r="EA75" s="46">
        <f t="shared" si="884"/>
        <v>28.8</v>
      </c>
      <c r="EB75" s="46">
        <f t="shared" si="884"/>
        <v>28.8</v>
      </c>
      <c r="EC75" s="46">
        <f t="shared" si="884"/>
        <v>28.8</v>
      </c>
      <c r="ED75" s="46">
        <f t="shared" si="884"/>
        <v>28.8</v>
      </c>
      <c r="EE75" s="46">
        <f t="shared" si="884"/>
        <v>28.8</v>
      </c>
      <c r="EF75" s="46">
        <f t="shared" si="884"/>
        <v>28.8</v>
      </c>
      <c r="EG75" s="46">
        <f t="shared" si="884"/>
        <v>28.8</v>
      </c>
      <c r="EH75" s="46">
        <f t="shared" si="884"/>
        <v>28.8</v>
      </c>
      <c r="EI75" s="46">
        <f t="shared" si="884"/>
        <v>28.8</v>
      </c>
      <c r="EL75" s="1" t="s">
        <v>133</v>
      </c>
      <c r="EM75" s="1" t="s">
        <v>14</v>
      </c>
      <c r="EV75" s="46">
        <f>IF(EV79&gt;0, $J65,0)</f>
        <v>28.8</v>
      </c>
      <c r="EW75" s="46">
        <f t="shared" ref="EW75:FI75" si="885">IF(EW79&gt;0, $J65,0)</f>
        <v>28.8</v>
      </c>
      <c r="EX75" s="46">
        <f t="shared" si="885"/>
        <v>28.8</v>
      </c>
      <c r="EY75" s="46">
        <f t="shared" si="885"/>
        <v>28.8</v>
      </c>
      <c r="EZ75" s="46">
        <f t="shared" si="885"/>
        <v>28.8</v>
      </c>
      <c r="FA75" s="46">
        <f t="shared" si="885"/>
        <v>28.8</v>
      </c>
      <c r="FB75" s="46">
        <f t="shared" si="885"/>
        <v>28.8</v>
      </c>
      <c r="FC75" s="46">
        <f t="shared" si="885"/>
        <v>28.8</v>
      </c>
      <c r="FD75" s="46">
        <f t="shared" si="885"/>
        <v>28.8</v>
      </c>
      <c r="FE75" s="46">
        <f t="shared" si="885"/>
        <v>28.8</v>
      </c>
      <c r="FF75" s="46">
        <f t="shared" si="885"/>
        <v>28.8</v>
      </c>
      <c r="FG75" s="46">
        <f t="shared" si="885"/>
        <v>28.8</v>
      </c>
      <c r="FH75" s="46">
        <f t="shared" si="885"/>
        <v>28.8</v>
      </c>
      <c r="FI75" s="46">
        <f t="shared" si="885"/>
        <v>28.8</v>
      </c>
    </row>
    <row r="76" spans="2:167" x14ac:dyDescent="0.25">
      <c r="B76" s="37"/>
      <c r="G76" s="1" t="s">
        <v>108</v>
      </c>
      <c r="I76" s="1" t="s">
        <v>14</v>
      </c>
      <c r="J76" s="29">
        <f>J75*365</f>
        <v>31752.809999999994</v>
      </c>
      <c r="L76" s="91" t="s">
        <v>134</v>
      </c>
      <c r="M76" s="91" t="s">
        <v>14</v>
      </c>
      <c r="N76" s="93">
        <f t="shared" ref="N76" si="886">SUM(N74:N75)</f>
        <v>28.8</v>
      </c>
      <c r="O76" s="93">
        <f t="shared" ref="O76" si="887">SUM(O74:O75)</f>
        <v>28.8</v>
      </c>
      <c r="P76" s="93">
        <f t="shared" ref="P76" si="888">SUM(P74:P75)</f>
        <v>28.8</v>
      </c>
      <c r="Q76" s="93">
        <f t="shared" ref="Q76" si="889">SUM(Q74:Q75)</f>
        <v>28.8</v>
      </c>
      <c r="R76" s="93">
        <f t="shared" ref="R76" si="890">SUM(R74:R75)</f>
        <v>28.8</v>
      </c>
      <c r="S76" s="93">
        <f t="shared" ref="S76" si="891">SUM(S74:S75)</f>
        <v>28.8</v>
      </c>
      <c r="T76" s="93">
        <f t="shared" ref="T76" si="892">SUM(T74:T75)</f>
        <v>28.8</v>
      </c>
      <c r="U76" s="93">
        <f t="shared" ref="U76" si="893">SUM(U74:U75)</f>
        <v>28.8</v>
      </c>
      <c r="V76" s="93">
        <f>SUM(V74:V75)</f>
        <v>28.8</v>
      </c>
      <c r="W76" s="93">
        <f t="shared" ref="W76" si="894">SUM(W74:W75)</f>
        <v>28.8</v>
      </c>
      <c r="X76" s="93">
        <f t="shared" ref="X76" si="895">SUM(X74:X75)</f>
        <v>28.8</v>
      </c>
      <c r="Y76" s="93">
        <f t="shared" ref="Y76" si="896">SUM(Y74:Y75)</f>
        <v>28.8</v>
      </c>
      <c r="Z76" s="93">
        <f t="shared" ref="Z76" si="897">SUM(Z74:Z75)</f>
        <v>28.8</v>
      </c>
      <c r="AA76" s="93">
        <f t="shared" ref="AA76" si="898">SUM(AA74:AA75)</f>
        <v>28.8</v>
      </c>
      <c r="AB76" s="93">
        <f t="shared" ref="AB76" si="899">SUM(AB74:AB75)</f>
        <v>28.8</v>
      </c>
      <c r="AC76" s="93">
        <f t="shared" ref="AC76" si="900">SUM(AC74:AC75)</f>
        <v>28.8</v>
      </c>
      <c r="AD76" s="93">
        <f t="shared" ref="AD76" si="901">SUM(AD74:AD75)</f>
        <v>28.8</v>
      </c>
      <c r="AE76" s="93">
        <f t="shared" ref="AE76" si="902">SUM(AE74:AE75)</f>
        <v>28.8</v>
      </c>
      <c r="AF76" s="93">
        <f t="shared" ref="AF76" si="903">SUM(AF74:AF75)</f>
        <v>28.8</v>
      </c>
      <c r="AG76" s="93">
        <f t="shared" ref="AG76" si="904">SUM(AG74:AG75)</f>
        <v>28.8</v>
      </c>
      <c r="AH76" s="93">
        <f t="shared" ref="AH76" si="905">SUM(AH74:AH75)</f>
        <v>28.8</v>
      </c>
      <c r="AI76" s="93">
        <f t="shared" ref="AI76" si="906">SUM(AI74:AI75)</f>
        <v>28.8</v>
      </c>
      <c r="AJ76" s="93">
        <f>SUM(AJ74:AJ75)</f>
        <v>28.8</v>
      </c>
      <c r="AK76" s="93">
        <f>SUM(AK74:AK75)</f>
        <v>28.8</v>
      </c>
      <c r="AL76" s="91" t="s">
        <v>134</v>
      </c>
      <c r="AM76" s="91" t="s">
        <v>14</v>
      </c>
      <c r="AN76" s="93">
        <f t="shared" ref="AN76" si="907">SUM(AN74:AN75)</f>
        <v>28.8</v>
      </c>
      <c r="AO76" s="93">
        <f t="shared" ref="AO76" si="908">SUM(AO74:AO75)</f>
        <v>28.8</v>
      </c>
      <c r="AP76" s="93">
        <f t="shared" ref="AP76" si="909">SUM(AP74:AP75)</f>
        <v>28.8</v>
      </c>
      <c r="AQ76" s="93">
        <f t="shared" ref="AQ76" si="910">SUM(AQ74:AQ75)</f>
        <v>28.8</v>
      </c>
      <c r="AR76" s="93">
        <f t="shared" ref="AR76" si="911">SUM(AR74:AR75)</f>
        <v>28.8</v>
      </c>
      <c r="AS76" s="93">
        <f t="shared" ref="AS76" si="912">SUM(AS74:AS75)</f>
        <v>28.8</v>
      </c>
      <c r="AT76" s="93">
        <f t="shared" ref="AT76" si="913">SUM(AT74:AT75)</f>
        <v>28.8</v>
      </c>
      <c r="AU76" s="93">
        <f t="shared" ref="AU76" si="914">SUM(AU74:AU75)</f>
        <v>28.8</v>
      </c>
      <c r="AV76" s="93">
        <f>SUM(AV74:AV75)</f>
        <v>28.8</v>
      </c>
      <c r="AW76" s="93">
        <f t="shared" ref="AW76" si="915">SUM(AW74:AW75)</f>
        <v>28.8</v>
      </c>
      <c r="AX76" s="93">
        <f t="shared" ref="AX76" si="916">SUM(AX74:AX75)</f>
        <v>28.8</v>
      </c>
      <c r="AY76" s="93">
        <f t="shared" ref="AY76" si="917">SUM(AY74:AY75)</f>
        <v>28.8</v>
      </c>
      <c r="AZ76" s="93">
        <f t="shared" ref="AZ76" si="918">SUM(AZ74:AZ75)</f>
        <v>28.8</v>
      </c>
      <c r="BA76" s="93">
        <f t="shared" ref="BA76" si="919">SUM(BA74:BA75)</f>
        <v>28.8</v>
      </c>
      <c r="BB76" s="93">
        <f t="shared" ref="BB76" si="920">SUM(BB74:BB75)</f>
        <v>28.8</v>
      </c>
      <c r="BC76" s="93">
        <f t="shared" ref="BC76" si="921">SUM(BC74:BC75)</f>
        <v>28.8</v>
      </c>
      <c r="BD76" s="93">
        <f t="shared" ref="BD76" si="922">SUM(BD74:BD75)</f>
        <v>28.8</v>
      </c>
      <c r="BE76" s="93">
        <f t="shared" ref="BE76" si="923">SUM(BE74:BE75)</f>
        <v>28.8</v>
      </c>
      <c r="BF76" s="93">
        <f t="shared" ref="BF76" si="924">SUM(BF74:BF75)</f>
        <v>28.8</v>
      </c>
      <c r="BG76" s="93">
        <f t="shared" ref="BG76" si="925">SUM(BG74:BG75)</f>
        <v>28.8</v>
      </c>
      <c r="BH76" s="93">
        <f t="shared" ref="BH76" si="926">SUM(BH74:BH75)</f>
        <v>28.8</v>
      </c>
      <c r="BI76" s="93">
        <f t="shared" ref="BI76" si="927">SUM(BI74:BI75)</f>
        <v>28.8</v>
      </c>
      <c r="BJ76" s="93">
        <f>SUM(BJ74:BJ75)</f>
        <v>28.8</v>
      </c>
      <c r="BK76" s="93">
        <f>SUM(BK74:BK75)</f>
        <v>28.8</v>
      </c>
      <c r="BL76" s="91" t="s">
        <v>134</v>
      </c>
      <c r="BM76" s="91" t="s">
        <v>14</v>
      </c>
      <c r="BN76" s="93">
        <f t="shared" ref="BN76" si="928">SUM(BN74:BN75)</f>
        <v>28.8</v>
      </c>
      <c r="BO76" s="93">
        <f t="shared" ref="BO76" si="929">SUM(BO74:BO75)</f>
        <v>28.8</v>
      </c>
      <c r="BP76" s="93">
        <f t="shared" ref="BP76" si="930">SUM(BP74:BP75)</f>
        <v>28.8</v>
      </c>
      <c r="BQ76" s="93">
        <f t="shared" ref="BQ76" si="931">SUM(BQ74:BQ75)</f>
        <v>28.8</v>
      </c>
      <c r="BR76" s="93">
        <f t="shared" ref="BR76" si="932">SUM(BR74:BR75)</f>
        <v>28.8</v>
      </c>
      <c r="BS76" s="93">
        <f t="shared" ref="BS76" si="933">SUM(BS74:BS75)</f>
        <v>28.8</v>
      </c>
      <c r="BT76" s="93">
        <f t="shared" ref="BT76" si="934">SUM(BT74:BT75)</f>
        <v>28.8</v>
      </c>
      <c r="BU76" s="93">
        <f t="shared" ref="BU76" si="935">SUM(BU74:BU75)</f>
        <v>28.8</v>
      </c>
      <c r="BV76" s="93">
        <f>SUM(BV74:BV75)</f>
        <v>28.8</v>
      </c>
      <c r="BW76" s="93">
        <f t="shared" ref="BW76" si="936">SUM(BW74:BW75)</f>
        <v>28.8</v>
      </c>
      <c r="BX76" s="93">
        <f t="shared" ref="BX76" si="937">SUM(BX74:BX75)</f>
        <v>28.8</v>
      </c>
      <c r="BY76" s="93">
        <f t="shared" ref="BY76" si="938">SUM(BY74:BY75)</f>
        <v>28.8</v>
      </c>
      <c r="BZ76" s="93">
        <f t="shared" ref="BZ76" si="939">SUM(BZ74:BZ75)</f>
        <v>28.8</v>
      </c>
      <c r="CA76" s="93">
        <f t="shared" ref="CA76" si="940">SUM(CA74:CA75)</f>
        <v>28.8</v>
      </c>
      <c r="CB76" s="93">
        <f t="shared" ref="CB76" si="941">SUM(CB74:CB75)</f>
        <v>28.8</v>
      </c>
      <c r="CC76" s="93">
        <f t="shared" ref="CC76" si="942">SUM(CC74:CC75)</f>
        <v>28.8</v>
      </c>
      <c r="CD76" s="93">
        <f t="shared" ref="CD76" si="943">SUM(CD74:CD75)</f>
        <v>28.8</v>
      </c>
      <c r="CE76" s="93">
        <f t="shared" ref="CE76" si="944">SUM(CE74:CE75)</f>
        <v>28.8</v>
      </c>
      <c r="CF76" s="93">
        <f t="shared" ref="CF76" si="945">SUM(CF74:CF75)</f>
        <v>28.8</v>
      </c>
      <c r="CG76" s="93">
        <f t="shared" ref="CG76" si="946">SUM(CG74:CG75)</f>
        <v>28.8</v>
      </c>
      <c r="CH76" s="93">
        <f t="shared" ref="CH76" si="947">SUM(CH74:CH75)</f>
        <v>28.8</v>
      </c>
      <c r="CI76" s="93">
        <f t="shared" ref="CI76" si="948">SUM(CI74:CI75)</f>
        <v>28.8</v>
      </c>
      <c r="CJ76" s="93">
        <f>SUM(CJ74:CJ75)</f>
        <v>28.8</v>
      </c>
      <c r="CK76" s="93">
        <f>SUM(CK74:CK75)</f>
        <v>28.8</v>
      </c>
      <c r="CL76" s="91" t="s">
        <v>134</v>
      </c>
      <c r="CM76" s="91" t="s">
        <v>14</v>
      </c>
      <c r="CN76" s="93">
        <f t="shared" ref="CN76" si="949">SUM(CN74:CN75)</f>
        <v>28.8</v>
      </c>
      <c r="CO76" s="93">
        <f t="shared" ref="CO76" si="950">SUM(CO74:CO75)</f>
        <v>28.8</v>
      </c>
      <c r="CP76" s="93">
        <f t="shared" ref="CP76" si="951">SUM(CP74:CP75)</f>
        <v>28.8</v>
      </c>
      <c r="CQ76" s="93">
        <f t="shared" ref="CQ76" si="952">SUM(CQ74:CQ75)</f>
        <v>28.8</v>
      </c>
      <c r="CR76" s="93">
        <f t="shared" ref="CR76" si="953">SUM(CR74:CR75)</f>
        <v>28.8</v>
      </c>
      <c r="CS76" s="93">
        <f t="shared" ref="CS76" si="954">SUM(CS74:CS75)</f>
        <v>28.8</v>
      </c>
      <c r="CT76" s="93">
        <f t="shared" ref="CT76" si="955">SUM(CT74:CT75)</f>
        <v>28.8</v>
      </c>
      <c r="CU76" s="93">
        <f t="shared" ref="CU76" si="956">SUM(CU74:CU75)</f>
        <v>28.8</v>
      </c>
      <c r="CV76" s="93">
        <f>SUM(CV74:CV75)</f>
        <v>28.8</v>
      </c>
      <c r="CW76" s="93">
        <f t="shared" ref="CW76" si="957">SUM(CW74:CW75)</f>
        <v>28.8</v>
      </c>
      <c r="CX76" s="93">
        <f t="shared" ref="CX76" si="958">SUM(CX74:CX75)</f>
        <v>28.8</v>
      </c>
      <c r="CY76" s="93">
        <f t="shared" ref="CY76" si="959">SUM(CY74:CY75)</f>
        <v>28.8</v>
      </c>
      <c r="CZ76" s="93">
        <f t="shared" ref="CZ76" si="960">SUM(CZ74:CZ75)</f>
        <v>28.8</v>
      </c>
      <c r="DA76" s="93">
        <f t="shared" ref="DA76" si="961">SUM(DA74:DA75)</f>
        <v>28.8</v>
      </c>
      <c r="DB76" s="93">
        <f t="shared" ref="DB76" si="962">SUM(DB74:DB75)</f>
        <v>28.8</v>
      </c>
      <c r="DC76" s="93">
        <f t="shared" ref="DC76" si="963">SUM(DC74:DC75)</f>
        <v>28.8</v>
      </c>
      <c r="DD76" s="93">
        <f t="shared" ref="DD76" si="964">SUM(DD74:DD75)</f>
        <v>28.8</v>
      </c>
      <c r="DE76" s="93">
        <f t="shared" ref="DE76" si="965">SUM(DE74:DE75)</f>
        <v>28.8</v>
      </c>
      <c r="DF76" s="93">
        <f t="shared" ref="DF76" si="966">SUM(DF74:DF75)</f>
        <v>28.8</v>
      </c>
      <c r="DG76" s="93">
        <f t="shared" ref="DG76" si="967">SUM(DG74:DG75)</f>
        <v>28.8</v>
      </c>
      <c r="DH76" s="93">
        <f t="shared" ref="DH76" si="968">SUM(DH74:DH75)</f>
        <v>28.8</v>
      </c>
      <c r="DI76" s="93">
        <f t="shared" ref="DI76" si="969">SUM(DI74:DI75)</f>
        <v>28.8</v>
      </c>
      <c r="DJ76" s="93">
        <f>SUM(DJ74:DJ75)</f>
        <v>28.8</v>
      </c>
      <c r="DK76" s="93">
        <f>SUM(DK74:DK75)</f>
        <v>28.8</v>
      </c>
      <c r="DL76" s="91" t="s">
        <v>134</v>
      </c>
      <c r="DM76" s="91" t="s">
        <v>14</v>
      </c>
      <c r="DN76" s="93">
        <f t="shared" ref="DN76" si="970">SUM(DN74:DN75)</f>
        <v>28.8</v>
      </c>
      <c r="DO76" s="93">
        <f t="shared" ref="DO76" si="971">SUM(DO74:DO75)</f>
        <v>28.8</v>
      </c>
      <c r="DP76" s="93">
        <f t="shared" ref="DP76" si="972">SUM(DP74:DP75)</f>
        <v>28.8</v>
      </c>
      <c r="DQ76" s="93">
        <f t="shared" ref="DQ76" si="973">SUM(DQ74:DQ75)</f>
        <v>28.8</v>
      </c>
      <c r="DR76" s="93">
        <f t="shared" ref="DR76" si="974">SUM(DR74:DR75)</f>
        <v>28.8</v>
      </c>
      <c r="DS76" s="93">
        <f t="shared" ref="DS76" si="975">SUM(DS74:DS75)</f>
        <v>28.8</v>
      </c>
      <c r="DT76" s="93">
        <f t="shared" ref="DT76" si="976">SUM(DT74:DT75)</f>
        <v>28.8</v>
      </c>
      <c r="DU76" s="93">
        <f t="shared" ref="DU76" si="977">SUM(DU74:DU75)</f>
        <v>28.8</v>
      </c>
      <c r="DV76" s="93">
        <f>SUM(DV74:DV75)</f>
        <v>28.8</v>
      </c>
      <c r="DW76" s="93">
        <f t="shared" ref="DW76" si="978">SUM(DW74:DW75)</f>
        <v>28.8</v>
      </c>
      <c r="DX76" s="93">
        <f t="shared" ref="DX76" si="979">SUM(DX74:DX75)</f>
        <v>28.8</v>
      </c>
      <c r="DY76" s="93">
        <f t="shared" ref="DY76" si="980">SUM(DY74:DY75)</f>
        <v>28.8</v>
      </c>
      <c r="DZ76" s="93">
        <f t="shared" ref="DZ76" si="981">SUM(DZ74:DZ75)</f>
        <v>28.8</v>
      </c>
      <c r="EA76" s="93">
        <f t="shared" ref="EA76" si="982">SUM(EA74:EA75)</f>
        <v>28.8</v>
      </c>
      <c r="EB76" s="93">
        <f t="shared" ref="EB76" si="983">SUM(EB74:EB75)</f>
        <v>28.8</v>
      </c>
      <c r="EC76" s="93">
        <f t="shared" ref="EC76" si="984">SUM(EC74:EC75)</f>
        <v>28.8</v>
      </c>
      <c r="ED76" s="93">
        <f t="shared" ref="ED76" si="985">SUM(ED74:ED75)</f>
        <v>28.8</v>
      </c>
      <c r="EE76" s="93">
        <f t="shared" ref="EE76" si="986">SUM(EE74:EE75)</f>
        <v>28.8</v>
      </c>
      <c r="EF76" s="93">
        <f t="shared" ref="EF76" si="987">SUM(EF74:EF75)</f>
        <v>28.8</v>
      </c>
      <c r="EG76" s="93">
        <f t="shared" ref="EG76" si="988">SUM(EG74:EG75)</f>
        <v>28.8</v>
      </c>
      <c r="EH76" s="93">
        <f t="shared" ref="EH76" si="989">SUM(EH74:EH75)</f>
        <v>28.8</v>
      </c>
      <c r="EI76" s="93">
        <f t="shared" ref="EI76" si="990">SUM(EI74:EI75)</f>
        <v>28.8</v>
      </c>
      <c r="EJ76" s="93">
        <f>SUM(EJ74:EJ75)</f>
        <v>28.8</v>
      </c>
      <c r="EK76" s="93">
        <f>SUM(EK74:EK75)</f>
        <v>28.8</v>
      </c>
      <c r="EL76" s="91" t="s">
        <v>134</v>
      </c>
      <c r="EM76" s="91" t="s">
        <v>14</v>
      </c>
      <c r="EN76" s="93">
        <f t="shared" ref="EN76" si="991">SUM(EN74:EN75)</f>
        <v>28.8</v>
      </c>
      <c r="EO76" s="93">
        <f t="shared" ref="EO76" si="992">SUM(EO74:EO75)</f>
        <v>28.8</v>
      </c>
      <c r="EP76" s="93">
        <f t="shared" ref="EP76" si="993">SUM(EP74:EP75)</f>
        <v>28.8</v>
      </c>
      <c r="EQ76" s="93">
        <f t="shared" ref="EQ76" si="994">SUM(EQ74:EQ75)</f>
        <v>28.8</v>
      </c>
      <c r="ER76" s="93">
        <f t="shared" ref="ER76" si="995">SUM(ER74:ER75)</f>
        <v>28.8</v>
      </c>
      <c r="ES76" s="93">
        <f t="shared" ref="ES76" si="996">SUM(ES74:ES75)</f>
        <v>28.8</v>
      </c>
      <c r="ET76" s="93">
        <f t="shared" ref="ET76" si="997">SUM(ET74:ET75)</f>
        <v>28.8</v>
      </c>
      <c r="EU76" s="93">
        <f t="shared" ref="EU76" si="998">SUM(EU74:EU75)</f>
        <v>28.8</v>
      </c>
      <c r="EV76" s="93">
        <f>SUM(EV74:EV75)</f>
        <v>28.8</v>
      </c>
      <c r="EW76" s="93">
        <f t="shared" ref="EW76" si="999">SUM(EW74:EW75)</f>
        <v>28.8</v>
      </c>
      <c r="EX76" s="93">
        <f t="shared" ref="EX76" si="1000">SUM(EX74:EX75)</f>
        <v>28.8</v>
      </c>
      <c r="EY76" s="93">
        <f t="shared" ref="EY76" si="1001">SUM(EY74:EY75)</f>
        <v>28.8</v>
      </c>
      <c r="EZ76" s="93">
        <f t="shared" ref="EZ76" si="1002">SUM(EZ74:EZ75)</f>
        <v>28.8</v>
      </c>
      <c r="FA76" s="93">
        <f t="shared" ref="FA76" si="1003">SUM(FA74:FA75)</f>
        <v>28.8</v>
      </c>
      <c r="FB76" s="93">
        <f t="shared" ref="FB76" si="1004">SUM(FB74:FB75)</f>
        <v>28.8</v>
      </c>
      <c r="FC76" s="93">
        <f t="shared" ref="FC76" si="1005">SUM(FC74:FC75)</f>
        <v>28.8</v>
      </c>
      <c r="FD76" s="93">
        <f t="shared" ref="FD76" si="1006">SUM(FD74:FD75)</f>
        <v>28.8</v>
      </c>
      <c r="FE76" s="93">
        <f t="shared" ref="FE76" si="1007">SUM(FE74:FE75)</f>
        <v>28.8</v>
      </c>
      <c r="FF76" s="93">
        <f t="shared" ref="FF76" si="1008">SUM(FF74:FF75)</f>
        <v>28.8</v>
      </c>
      <c r="FG76" s="93">
        <f t="shared" ref="FG76" si="1009">SUM(FG74:FG75)</f>
        <v>28.8</v>
      </c>
      <c r="FH76" s="93">
        <f t="shared" ref="FH76" si="1010">SUM(FH74:FH75)</f>
        <v>28.8</v>
      </c>
      <c r="FI76" s="93">
        <f t="shared" ref="FI76" si="1011">SUM(FI74:FI75)</f>
        <v>28.8</v>
      </c>
      <c r="FJ76" s="93">
        <f>SUM(FJ74:FJ75)</f>
        <v>28.8</v>
      </c>
      <c r="FK76" s="93">
        <f>SUM(FK74:FK75)</f>
        <v>28.8</v>
      </c>
    </row>
    <row r="77" spans="2:167" x14ac:dyDescent="0.25">
      <c r="B77" s="54" t="s">
        <v>36</v>
      </c>
      <c r="J77" s="38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1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1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1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1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1"/>
      <c r="EN77" s="25"/>
      <c r="EO77" s="25"/>
      <c r="EP77" s="25"/>
      <c r="EQ77" s="25"/>
      <c r="ER77" s="25"/>
      <c r="ES77" s="25"/>
      <c r="ET77" s="25"/>
      <c r="EU77" s="25"/>
      <c r="EV77" s="25"/>
      <c r="EW77" s="25"/>
      <c r="EX77" s="25"/>
      <c r="EY77" s="25"/>
      <c r="EZ77" s="25"/>
      <c r="FA77" s="25"/>
      <c r="FB77" s="25"/>
      <c r="FC77" s="25"/>
      <c r="FD77" s="25"/>
      <c r="FE77" s="25"/>
      <c r="FF77" s="25"/>
      <c r="FG77" s="25"/>
      <c r="FH77" s="25"/>
      <c r="FI77" s="25"/>
      <c r="FJ77" s="25"/>
      <c r="FK77" s="25"/>
    </row>
    <row r="78" spans="2:167" x14ac:dyDescent="0.25">
      <c r="B78" s="37" t="s">
        <v>29</v>
      </c>
      <c r="D78" s="1" t="s">
        <v>27</v>
      </c>
      <c r="E78" s="130">
        <f>$R$13</f>
        <v>17</v>
      </c>
      <c r="G78" s="2" t="s">
        <v>257</v>
      </c>
      <c r="J78" s="38"/>
      <c r="L78" s="19"/>
      <c r="M78" s="19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19"/>
      <c r="AM78" s="19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19"/>
      <c r="BM78" s="19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19"/>
      <c r="CM78" s="19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19"/>
      <c r="DM78" s="19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47"/>
      <c r="EA78" s="47"/>
      <c r="EB78" s="47"/>
      <c r="EC78" s="47"/>
      <c r="ED78" s="47"/>
      <c r="EE78" s="47"/>
      <c r="EF78" s="47"/>
      <c r="EG78" s="47"/>
      <c r="EH78" s="47"/>
      <c r="EI78" s="47"/>
      <c r="EJ78" s="47"/>
      <c r="EK78" s="47"/>
      <c r="EL78" s="19"/>
      <c r="EM78" s="19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  <c r="FF78" s="47"/>
      <c r="FG78" s="47"/>
      <c r="FH78" s="47"/>
      <c r="FI78" s="47"/>
      <c r="FJ78" s="47"/>
      <c r="FK78" s="47"/>
    </row>
    <row r="79" spans="2:167" x14ac:dyDescent="0.25">
      <c r="B79" s="37" t="s">
        <v>28</v>
      </c>
      <c r="D79" s="1" t="s">
        <v>30</v>
      </c>
      <c r="E79" s="13">
        <f>E78*365</f>
        <v>6205</v>
      </c>
      <c r="G79" s="1" t="s">
        <v>33</v>
      </c>
      <c r="I79" s="1" t="s">
        <v>19</v>
      </c>
      <c r="J79" s="10">
        <f>J44</f>
        <v>800</v>
      </c>
      <c r="L79" s="2" t="s">
        <v>68</v>
      </c>
      <c r="M79" s="2" t="s">
        <v>14</v>
      </c>
      <c r="N79" s="92">
        <v>0</v>
      </c>
      <c r="O79" s="92">
        <f t="shared" ref="O79:U79" si="1012">IF(O$16&gt;0,$J70,0)</f>
        <v>0</v>
      </c>
      <c r="P79" s="92">
        <f t="shared" si="1012"/>
        <v>0</v>
      </c>
      <c r="Q79" s="92">
        <f t="shared" si="1012"/>
        <v>0</v>
      </c>
      <c r="R79" s="92">
        <f t="shared" si="1012"/>
        <v>0</v>
      </c>
      <c r="S79" s="92">
        <f t="shared" si="1012"/>
        <v>32.400000000000006</v>
      </c>
      <c r="T79" s="92">
        <f t="shared" si="1012"/>
        <v>32.400000000000006</v>
      </c>
      <c r="U79" s="92">
        <f t="shared" si="1012"/>
        <v>32.400000000000006</v>
      </c>
      <c r="V79" s="92">
        <f>IF(V$16&gt;0,$J70,0)</f>
        <v>32.400000000000006</v>
      </c>
      <c r="W79" s="92">
        <f t="shared" ref="W79:AK79" si="1013">IF(W$16&gt;0,$J70,0)</f>
        <v>32.400000000000006</v>
      </c>
      <c r="X79" s="92">
        <f t="shared" si="1013"/>
        <v>32.400000000000006</v>
      </c>
      <c r="Y79" s="92">
        <f t="shared" si="1013"/>
        <v>32.400000000000006</v>
      </c>
      <c r="Z79" s="92">
        <f t="shared" si="1013"/>
        <v>32.400000000000006</v>
      </c>
      <c r="AA79" s="92">
        <f t="shared" si="1013"/>
        <v>32.400000000000006</v>
      </c>
      <c r="AB79" s="92">
        <f t="shared" si="1013"/>
        <v>32.400000000000006</v>
      </c>
      <c r="AC79" s="92">
        <f t="shared" si="1013"/>
        <v>32.400000000000006</v>
      </c>
      <c r="AD79" s="92">
        <f t="shared" si="1013"/>
        <v>32.400000000000006</v>
      </c>
      <c r="AE79" s="92">
        <f t="shared" si="1013"/>
        <v>32.400000000000006</v>
      </c>
      <c r="AF79" s="92">
        <f t="shared" si="1013"/>
        <v>32.400000000000006</v>
      </c>
      <c r="AG79" s="92">
        <f t="shared" si="1013"/>
        <v>32.400000000000006</v>
      </c>
      <c r="AH79" s="92">
        <f t="shared" si="1013"/>
        <v>32.400000000000006</v>
      </c>
      <c r="AI79" s="92">
        <f t="shared" si="1013"/>
        <v>32.400000000000006</v>
      </c>
      <c r="AJ79" s="92">
        <f t="shared" si="1013"/>
        <v>0</v>
      </c>
      <c r="AK79" s="92">
        <f t="shared" si="1013"/>
        <v>0</v>
      </c>
      <c r="AL79" s="2" t="s">
        <v>68</v>
      </c>
      <c r="AM79" s="2" t="s">
        <v>14</v>
      </c>
      <c r="AN79" s="92">
        <v>0</v>
      </c>
      <c r="AO79" s="92">
        <f t="shared" ref="AO79:AU79" si="1014">IF(AO$16&gt;0,$J70,0)</f>
        <v>0</v>
      </c>
      <c r="AP79" s="92">
        <f t="shared" si="1014"/>
        <v>0</v>
      </c>
      <c r="AQ79" s="92">
        <f t="shared" si="1014"/>
        <v>0</v>
      </c>
      <c r="AR79" s="92">
        <f t="shared" si="1014"/>
        <v>0</v>
      </c>
      <c r="AS79" s="92">
        <f t="shared" si="1014"/>
        <v>32.400000000000006</v>
      </c>
      <c r="AT79" s="92">
        <f t="shared" si="1014"/>
        <v>32.400000000000006</v>
      </c>
      <c r="AU79" s="92">
        <f t="shared" si="1014"/>
        <v>32.400000000000006</v>
      </c>
      <c r="AV79" s="92">
        <f>IF(AV$16&gt;0,$J70,0)</f>
        <v>32.400000000000006</v>
      </c>
      <c r="AW79" s="92">
        <f t="shared" ref="AW79:BK79" si="1015">IF(AW$16&gt;0,$J70,0)</f>
        <v>32.400000000000006</v>
      </c>
      <c r="AX79" s="92">
        <f t="shared" si="1015"/>
        <v>32.400000000000006</v>
      </c>
      <c r="AY79" s="92">
        <f t="shared" si="1015"/>
        <v>32.400000000000006</v>
      </c>
      <c r="AZ79" s="92">
        <f t="shared" si="1015"/>
        <v>32.400000000000006</v>
      </c>
      <c r="BA79" s="92">
        <f t="shared" si="1015"/>
        <v>32.400000000000006</v>
      </c>
      <c r="BB79" s="92">
        <f t="shared" si="1015"/>
        <v>32.400000000000006</v>
      </c>
      <c r="BC79" s="92">
        <f t="shared" si="1015"/>
        <v>32.400000000000006</v>
      </c>
      <c r="BD79" s="92">
        <f t="shared" si="1015"/>
        <v>32.400000000000006</v>
      </c>
      <c r="BE79" s="92">
        <f t="shared" si="1015"/>
        <v>32.400000000000006</v>
      </c>
      <c r="BF79" s="92">
        <f t="shared" si="1015"/>
        <v>32.400000000000006</v>
      </c>
      <c r="BG79" s="92">
        <f t="shared" si="1015"/>
        <v>32.400000000000006</v>
      </c>
      <c r="BH79" s="92">
        <f t="shared" si="1015"/>
        <v>32.400000000000006</v>
      </c>
      <c r="BI79" s="92">
        <f t="shared" si="1015"/>
        <v>32.400000000000006</v>
      </c>
      <c r="BJ79" s="92">
        <f t="shared" si="1015"/>
        <v>32.400000000000006</v>
      </c>
      <c r="BK79" s="92">
        <f t="shared" si="1015"/>
        <v>32.400000000000006</v>
      </c>
      <c r="BL79" s="2" t="s">
        <v>68</v>
      </c>
      <c r="BM79" s="2" t="s">
        <v>14</v>
      </c>
      <c r="BN79" s="92">
        <v>0</v>
      </c>
      <c r="BO79" s="92">
        <f t="shared" ref="BO79:BU79" si="1016">IF(BO$16&gt;0,$J70,0)</f>
        <v>0</v>
      </c>
      <c r="BP79" s="92">
        <f t="shared" si="1016"/>
        <v>0</v>
      </c>
      <c r="BQ79" s="92">
        <f t="shared" si="1016"/>
        <v>0</v>
      </c>
      <c r="BR79" s="92">
        <f t="shared" si="1016"/>
        <v>0</v>
      </c>
      <c r="BS79" s="92">
        <f t="shared" si="1016"/>
        <v>32.400000000000006</v>
      </c>
      <c r="BT79" s="92">
        <f t="shared" si="1016"/>
        <v>32.400000000000006</v>
      </c>
      <c r="BU79" s="92">
        <f t="shared" si="1016"/>
        <v>32.400000000000006</v>
      </c>
      <c r="BV79" s="92">
        <f>IF(BV$16&gt;0,$J70,0)</f>
        <v>32.400000000000006</v>
      </c>
      <c r="BW79" s="92">
        <f t="shared" ref="BW79:CK79" si="1017">IF(BW$16&gt;0,$J70,0)</f>
        <v>32.400000000000006</v>
      </c>
      <c r="BX79" s="92">
        <f t="shared" si="1017"/>
        <v>32.400000000000006</v>
      </c>
      <c r="BY79" s="92">
        <f t="shared" si="1017"/>
        <v>32.400000000000006</v>
      </c>
      <c r="BZ79" s="92">
        <f t="shared" si="1017"/>
        <v>32.400000000000006</v>
      </c>
      <c r="CA79" s="92">
        <f t="shared" si="1017"/>
        <v>32.400000000000006</v>
      </c>
      <c r="CB79" s="92">
        <f t="shared" si="1017"/>
        <v>32.400000000000006</v>
      </c>
      <c r="CC79" s="92">
        <f t="shared" si="1017"/>
        <v>32.400000000000006</v>
      </c>
      <c r="CD79" s="92">
        <f t="shared" si="1017"/>
        <v>32.400000000000006</v>
      </c>
      <c r="CE79" s="92">
        <f t="shared" si="1017"/>
        <v>32.400000000000006</v>
      </c>
      <c r="CF79" s="92">
        <f t="shared" si="1017"/>
        <v>32.400000000000006</v>
      </c>
      <c r="CG79" s="92">
        <f t="shared" si="1017"/>
        <v>32.400000000000006</v>
      </c>
      <c r="CH79" s="92">
        <f t="shared" si="1017"/>
        <v>32.400000000000006</v>
      </c>
      <c r="CI79" s="92">
        <f t="shared" si="1017"/>
        <v>32.400000000000006</v>
      </c>
      <c r="CJ79" s="92">
        <f t="shared" si="1017"/>
        <v>32.400000000000006</v>
      </c>
      <c r="CK79" s="92">
        <f t="shared" si="1017"/>
        <v>0</v>
      </c>
      <c r="CL79" s="2" t="s">
        <v>68</v>
      </c>
      <c r="CM79" s="2" t="s">
        <v>14</v>
      </c>
      <c r="CN79" s="92">
        <v>0</v>
      </c>
      <c r="CO79" s="92">
        <f t="shared" ref="CO79:CU79" si="1018">IF(CO$16&gt;0,$J70,0)</f>
        <v>0</v>
      </c>
      <c r="CP79" s="92">
        <f t="shared" si="1018"/>
        <v>0</v>
      </c>
      <c r="CQ79" s="92">
        <f t="shared" si="1018"/>
        <v>0</v>
      </c>
      <c r="CR79" s="92">
        <f t="shared" si="1018"/>
        <v>32.400000000000006</v>
      </c>
      <c r="CS79" s="92">
        <f t="shared" si="1018"/>
        <v>32.400000000000006</v>
      </c>
      <c r="CT79" s="92">
        <f t="shared" si="1018"/>
        <v>32.400000000000006</v>
      </c>
      <c r="CU79" s="92">
        <f t="shared" si="1018"/>
        <v>32.400000000000006</v>
      </c>
      <c r="CV79" s="92">
        <f>IF(CV$16&gt;0,$J70,0)</f>
        <v>32.400000000000006</v>
      </c>
      <c r="CW79" s="92">
        <f t="shared" ref="CW79:DK79" si="1019">IF(CW$16&gt;0,$J70,0)</f>
        <v>32.400000000000006</v>
      </c>
      <c r="CX79" s="92">
        <f t="shared" si="1019"/>
        <v>32.400000000000006</v>
      </c>
      <c r="CY79" s="92">
        <f t="shared" si="1019"/>
        <v>32.400000000000006</v>
      </c>
      <c r="CZ79" s="92">
        <f t="shared" si="1019"/>
        <v>32.400000000000006</v>
      </c>
      <c r="DA79" s="92">
        <f t="shared" si="1019"/>
        <v>32.400000000000006</v>
      </c>
      <c r="DB79" s="92">
        <f t="shared" si="1019"/>
        <v>32.400000000000006</v>
      </c>
      <c r="DC79" s="92">
        <f t="shared" si="1019"/>
        <v>32.400000000000006</v>
      </c>
      <c r="DD79" s="92">
        <f t="shared" si="1019"/>
        <v>32.400000000000006</v>
      </c>
      <c r="DE79" s="92">
        <f t="shared" si="1019"/>
        <v>32.400000000000006</v>
      </c>
      <c r="DF79" s="92">
        <f t="shared" si="1019"/>
        <v>32.400000000000006</v>
      </c>
      <c r="DG79" s="92">
        <f t="shared" si="1019"/>
        <v>32.400000000000006</v>
      </c>
      <c r="DH79" s="92">
        <f t="shared" si="1019"/>
        <v>32.400000000000006</v>
      </c>
      <c r="DI79" s="92">
        <f t="shared" si="1019"/>
        <v>32.400000000000006</v>
      </c>
      <c r="DJ79" s="92">
        <f t="shared" si="1019"/>
        <v>32.400000000000006</v>
      </c>
      <c r="DK79" s="92">
        <f t="shared" si="1019"/>
        <v>32.400000000000006</v>
      </c>
      <c r="DL79" s="2" t="s">
        <v>68</v>
      </c>
      <c r="DM79" s="2" t="s">
        <v>14</v>
      </c>
      <c r="DN79" s="92">
        <v>0</v>
      </c>
      <c r="DO79" s="92">
        <f t="shared" ref="DO79:DU79" si="1020">IF(DO$16&gt;0,$J70,0)</f>
        <v>0</v>
      </c>
      <c r="DP79" s="92">
        <f t="shared" si="1020"/>
        <v>0</v>
      </c>
      <c r="DQ79" s="92">
        <f t="shared" si="1020"/>
        <v>0</v>
      </c>
      <c r="DR79" s="92">
        <f t="shared" si="1020"/>
        <v>32.400000000000006</v>
      </c>
      <c r="DS79" s="92">
        <f t="shared" si="1020"/>
        <v>32.400000000000006</v>
      </c>
      <c r="DT79" s="92">
        <f t="shared" si="1020"/>
        <v>32.400000000000006</v>
      </c>
      <c r="DU79" s="92">
        <f t="shared" si="1020"/>
        <v>32.400000000000006</v>
      </c>
      <c r="DV79" s="92">
        <f>IF(DV$16&gt;0,$J70,0)</f>
        <v>32.400000000000006</v>
      </c>
      <c r="DW79" s="92">
        <f t="shared" ref="DW79:EK79" si="1021">IF(DW$16&gt;0,$J70,0)</f>
        <v>32.400000000000006</v>
      </c>
      <c r="DX79" s="92">
        <f t="shared" si="1021"/>
        <v>32.400000000000006</v>
      </c>
      <c r="DY79" s="92">
        <f t="shared" si="1021"/>
        <v>32.400000000000006</v>
      </c>
      <c r="DZ79" s="92">
        <f t="shared" si="1021"/>
        <v>32.400000000000006</v>
      </c>
      <c r="EA79" s="92">
        <f t="shared" si="1021"/>
        <v>32.400000000000006</v>
      </c>
      <c r="EB79" s="92">
        <f t="shared" si="1021"/>
        <v>32.400000000000006</v>
      </c>
      <c r="EC79" s="92">
        <f t="shared" si="1021"/>
        <v>32.400000000000006</v>
      </c>
      <c r="ED79" s="92">
        <f t="shared" si="1021"/>
        <v>32.400000000000006</v>
      </c>
      <c r="EE79" s="92">
        <f t="shared" si="1021"/>
        <v>32.400000000000006</v>
      </c>
      <c r="EF79" s="92">
        <f t="shared" si="1021"/>
        <v>32.400000000000006</v>
      </c>
      <c r="EG79" s="92">
        <f t="shared" si="1021"/>
        <v>32.400000000000006</v>
      </c>
      <c r="EH79" s="92">
        <f t="shared" si="1021"/>
        <v>32.400000000000006</v>
      </c>
      <c r="EI79" s="92">
        <f t="shared" si="1021"/>
        <v>32.400000000000006</v>
      </c>
      <c r="EJ79" s="92">
        <f t="shared" si="1021"/>
        <v>32.400000000000006</v>
      </c>
      <c r="EK79" s="92">
        <f t="shared" si="1021"/>
        <v>32.400000000000006</v>
      </c>
      <c r="EL79" s="2" t="s">
        <v>68</v>
      </c>
      <c r="EM79" s="2" t="s">
        <v>14</v>
      </c>
      <c r="EN79" s="92">
        <v>0</v>
      </c>
      <c r="EO79" s="92">
        <f t="shared" ref="EO79:EU79" si="1022">IF(EO$16&gt;0,$J70,0)</f>
        <v>32.400000000000006</v>
      </c>
      <c r="EP79" s="92">
        <f t="shared" si="1022"/>
        <v>32.400000000000006</v>
      </c>
      <c r="EQ79" s="92">
        <f t="shared" si="1022"/>
        <v>32.400000000000006</v>
      </c>
      <c r="ER79" s="92">
        <f t="shared" si="1022"/>
        <v>32.400000000000006</v>
      </c>
      <c r="ES79" s="92">
        <f t="shared" si="1022"/>
        <v>32.400000000000006</v>
      </c>
      <c r="ET79" s="92">
        <f t="shared" si="1022"/>
        <v>32.400000000000006</v>
      </c>
      <c r="EU79" s="92">
        <f t="shared" si="1022"/>
        <v>32.400000000000006</v>
      </c>
      <c r="EV79" s="92">
        <f>IF(EV$16&gt;0,$J70,0)</f>
        <v>32.400000000000006</v>
      </c>
      <c r="EW79" s="92">
        <f t="shared" ref="EW79:FK79" si="1023">IF(EW$16&gt;0,$J70,0)</f>
        <v>32.400000000000006</v>
      </c>
      <c r="EX79" s="92">
        <f t="shared" si="1023"/>
        <v>32.400000000000006</v>
      </c>
      <c r="EY79" s="92">
        <f t="shared" si="1023"/>
        <v>32.400000000000006</v>
      </c>
      <c r="EZ79" s="92">
        <f t="shared" si="1023"/>
        <v>32.400000000000006</v>
      </c>
      <c r="FA79" s="92">
        <f t="shared" si="1023"/>
        <v>32.400000000000006</v>
      </c>
      <c r="FB79" s="92">
        <f t="shared" si="1023"/>
        <v>32.400000000000006</v>
      </c>
      <c r="FC79" s="92">
        <f t="shared" si="1023"/>
        <v>32.400000000000006</v>
      </c>
      <c r="FD79" s="92">
        <f t="shared" si="1023"/>
        <v>32.400000000000006</v>
      </c>
      <c r="FE79" s="92">
        <f t="shared" si="1023"/>
        <v>32.400000000000006</v>
      </c>
      <c r="FF79" s="92">
        <f t="shared" si="1023"/>
        <v>32.400000000000006</v>
      </c>
      <c r="FG79" s="92">
        <f t="shared" si="1023"/>
        <v>32.400000000000006</v>
      </c>
      <c r="FH79" s="92">
        <f t="shared" si="1023"/>
        <v>32.400000000000006</v>
      </c>
      <c r="FI79" s="92">
        <f t="shared" si="1023"/>
        <v>32.400000000000006</v>
      </c>
      <c r="FJ79" s="92">
        <f t="shared" si="1023"/>
        <v>32.400000000000006</v>
      </c>
      <c r="FK79" s="92">
        <f t="shared" si="1023"/>
        <v>32.400000000000006</v>
      </c>
    </row>
    <row r="80" spans="2:167" x14ac:dyDescent="0.25">
      <c r="B80" s="37" t="s">
        <v>31</v>
      </c>
      <c r="D80" s="1" t="s">
        <v>6</v>
      </c>
      <c r="E80" s="14">
        <v>0.2</v>
      </c>
      <c r="G80" s="1" t="s">
        <v>181</v>
      </c>
      <c r="I80" s="1" t="s">
        <v>14</v>
      </c>
      <c r="J80" s="89">
        <f>J45</f>
        <v>54</v>
      </c>
      <c r="L80" s="1" t="s">
        <v>187</v>
      </c>
      <c r="M80" s="1" t="s">
        <v>14</v>
      </c>
      <c r="O80" s="25">
        <f t="shared" ref="O80" si="1024">IF(O79=0,0,IF(O79&gt;O76,O79-O76,0))</f>
        <v>0</v>
      </c>
      <c r="P80" s="25">
        <f t="shared" ref="P80" si="1025">IF(P79=0,0,IF(P79&gt;P76,P79-P76,0))</f>
        <v>0</v>
      </c>
      <c r="Q80" s="25">
        <f t="shared" ref="Q80" si="1026">IF(Q79=0,0,IF(Q79&gt;Q76,Q79-Q76,0))</f>
        <v>0</v>
      </c>
      <c r="R80" s="25">
        <f t="shared" ref="R80" si="1027">IF(R79=0,0,IF(R79&gt;R76,R79-R76,0))</f>
        <v>0</v>
      </c>
      <c r="S80" s="25">
        <f t="shared" ref="S80" si="1028">IF(S79=0,0,IF(S79&gt;S76,S79-S76,0))</f>
        <v>3.600000000000005</v>
      </c>
      <c r="T80" s="25">
        <f t="shared" ref="T80" si="1029">IF(T79=0,0,IF(T79&gt;T76,T79-T76,0))</f>
        <v>3.600000000000005</v>
      </c>
      <c r="U80" s="25">
        <f t="shared" ref="U80" si="1030">IF(U79=0,0,IF(U79&gt;U76,U79-U76,0))</f>
        <v>3.600000000000005</v>
      </c>
      <c r="V80" s="25">
        <f>IF(V79=0,0,IF(V79&gt;V76,V79-V76,0))</f>
        <v>3.600000000000005</v>
      </c>
      <c r="W80" s="25">
        <f t="shared" ref="W80" si="1031">IF(W79=0,0,IF(W79&gt;W76,W79-W76,0))</f>
        <v>3.600000000000005</v>
      </c>
      <c r="X80" s="25">
        <f t="shared" ref="X80" si="1032">IF(X79=0,0,IF(X79&gt;X76,X79-X76,0))</f>
        <v>3.600000000000005</v>
      </c>
      <c r="Y80" s="25">
        <f t="shared" ref="Y80" si="1033">IF(Y79=0,0,IF(Y79&gt;Y76,Y79-Y76,0))</f>
        <v>3.600000000000005</v>
      </c>
      <c r="Z80" s="25">
        <f t="shared" ref="Z80" si="1034">IF(Z79=0,0,IF(Z79&gt;Z76,Z79-Z76,0))</f>
        <v>3.600000000000005</v>
      </c>
      <c r="AA80" s="25">
        <f t="shared" ref="AA80" si="1035">IF(AA79=0,0,IF(AA79&gt;AA76,AA79-AA76,0))</f>
        <v>3.600000000000005</v>
      </c>
      <c r="AB80" s="25">
        <f t="shared" ref="AB80" si="1036">IF(AB79=0,0,IF(AB79&gt;AB76,AB79-AB76,0))</f>
        <v>3.600000000000005</v>
      </c>
      <c r="AC80" s="25">
        <f t="shared" ref="AC80" si="1037">IF(AC79=0,0,IF(AC79&gt;AC76,AC79-AC76,0))</f>
        <v>3.600000000000005</v>
      </c>
      <c r="AD80" s="25">
        <f t="shared" ref="AD80" si="1038">IF(AD79=0,0,IF(AD79&gt;AD76,AD79-AD76,0))</f>
        <v>3.600000000000005</v>
      </c>
      <c r="AE80" s="25">
        <f t="shared" ref="AE80" si="1039">IF(AE79=0,0,IF(AE79&gt;AE76,AE79-AE76,0))</f>
        <v>3.600000000000005</v>
      </c>
      <c r="AF80" s="25">
        <f t="shared" ref="AF80" si="1040">IF(AF79=0,0,IF(AF79&gt;AF76,AF79-AF76,0))</f>
        <v>3.600000000000005</v>
      </c>
      <c r="AG80" s="25">
        <f t="shared" ref="AG80" si="1041">IF(AG79=0,0,IF(AG79&gt;AG76,AG79-AG76,0))</f>
        <v>3.600000000000005</v>
      </c>
      <c r="AH80" s="25">
        <f t="shared" ref="AH80" si="1042">IF(AH79=0,0,IF(AH79&gt;AH76,AH79-AH76,0))</f>
        <v>3.600000000000005</v>
      </c>
      <c r="AI80" s="25">
        <f t="shared" ref="AI80" si="1043">IF(AI79=0,0,IF(AI79&gt;AI76,AI79-AI76,0))</f>
        <v>3.600000000000005</v>
      </c>
      <c r="AJ80" s="25">
        <f t="shared" ref="AJ80" si="1044">IF(AJ79=0,0,IF(AJ79&gt;AJ76,AJ79-AJ76,0))</f>
        <v>0</v>
      </c>
      <c r="AK80" s="25">
        <f t="shared" ref="AK80" si="1045">IF(AK79=0,0,IF(AK79&gt;AK76,AK79-AK76,0))</f>
        <v>0</v>
      </c>
      <c r="AL80" s="1" t="s">
        <v>187</v>
      </c>
      <c r="AM80" s="1" t="s">
        <v>14</v>
      </c>
      <c r="AO80" s="25">
        <f t="shared" ref="AO80" si="1046">IF(AO79=0,0,IF(AO79&gt;AO76,AO79-AO76,0))</f>
        <v>0</v>
      </c>
      <c r="AP80" s="25">
        <f t="shared" ref="AP80" si="1047">IF(AP79=0,0,IF(AP79&gt;AP76,AP79-AP76,0))</f>
        <v>0</v>
      </c>
      <c r="AQ80" s="25">
        <f t="shared" ref="AQ80" si="1048">IF(AQ79=0,0,IF(AQ79&gt;AQ76,AQ79-AQ76,0))</f>
        <v>0</v>
      </c>
      <c r="AR80" s="25">
        <f t="shared" ref="AR80" si="1049">IF(AR79=0,0,IF(AR79&gt;AR76,AR79-AR76,0))</f>
        <v>0</v>
      </c>
      <c r="AS80" s="25">
        <f t="shared" ref="AS80" si="1050">IF(AS79=0,0,IF(AS79&gt;AS76,AS79-AS76,0))</f>
        <v>3.600000000000005</v>
      </c>
      <c r="AT80" s="25">
        <f t="shared" ref="AT80" si="1051">IF(AT79=0,0,IF(AT79&gt;AT76,AT79-AT76,0))</f>
        <v>3.600000000000005</v>
      </c>
      <c r="AU80" s="25">
        <f t="shared" ref="AU80" si="1052">IF(AU79=0,0,IF(AU79&gt;AU76,AU79-AU76,0))</f>
        <v>3.600000000000005</v>
      </c>
      <c r="AV80" s="25">
        <f>IF(AV79=0,0,IF(AV79&gt;AV76,AV79-AV76,0))</f>
        <v>3.600000000000005</v>
      </c>
      <c r="AW80" s="25">
        <f t="shared" ref="AW80" si="1053">IF(AW79=0,0,IF(AW79&gt;AW76,AW79-AW76,0))</f>
        <v>3.600000000000005</v>
      </c>
      <c r="AX80" s="25">
        <f t="shared" ref="AX80" si="1054">IF(AX79=0,0,IF(AX79&gt;AX76,AX79-AX76,0))</f>
        <v>3.600000000000005</v>
      </c>
      <c r="AY80" s="25">
        <f t="shared" ref="AY80" si="1055">IF(AY79=0,0,IF(AY79&gt;AY76,AY79-AY76,0))</f>
        <v>3.600000000000005</v>
      </c>
      <c r="AZ80" s="25">
        <f t="shared" ref="AZ80" si="1056">IF(AZ79=0,0,IF(AZ79&gt;AZ76,AZ79-AZ76,0))</f>
        <v>3.600000000000005</v>
      </c>
      <c r="BA80" s="25">
        <f t="shared" ref="BA80" si="1057">IF(BA79=0,0,IF(BA79&gt;BA76,BA79-BA76,0))</f>
        <v>3.600000000000005</v>
      </c>
      <c r="BB80" s="25">
        <f t="shared" ref="BB80" si="1058">IF(BB79=0,0,IF(BB79&gt;BB76,BB79-BB76,0))</f>
        <v>3.600000000000005</v>
      </c>
      <c r="BC80" s="25">
        <f t="shared" ref="BC80" si="1059">IF(BC79=0,0,IF(BC79&gt;BC76,BC79-BC76,0))</f>
        <v>3.600000000000005</v>
      </c>
      <c r="BD80" s="25">
        <f t="shared" ref="BD80" si="1060">IF(BD79=0,0,IF(BD79&gt;BD76,BD79-BD76,0))</f>
        <v>3.600000000000005</v>
      </c>
      <c r="BE80" s="25">
        <f t="shared" ref="BE80" si="1061">IF(BE79=0,0,IF(BE79&gt;BE76,BE79-BE76,0))</f>
        <v>3.600000000000005</v>
      </c>
      <c r="BF80" s="25">
        <f t="shared" ref="BF80" si="1062">IF(BF79=0,0,IF(BF79&gt;BF76,BF79-BF76,0))</f>
        <v>3.600000000000005</v>
      </c>
      <c r="BG80" s="25">
        <f t="shared" ref="BG80" si="1063">IF(BG79=0,0,IF(BG79&gt;BG76,BG79-BG76,0))</f>
        <v>3.600000000000005</v>
      </c>
      <c r="BH80" s="25">
        <f t="shared" ref="BH80" si="1064">IF(BH79=0,0,IF(BH79&gt;BH76,BH79-BH76,0))</f>
        <v>3.600000000000005</v>
      </c>
      <c r="BI80" s="25">
        <f t="shared" ref="BI80" si="1065">IF(BI79=0,0,IF(BI79&gt;BI76,BI79-BI76,0))</f>
        <v>3.600000000000005</v>
      </c>
      <c r="BJ80" s="25">
        <f t="shared" ref="BJ80" si="1066">IF(BJ79=0,0,IF(BJ79&gt;BJ76,BJ79-BJ76,0))</f>
        <v>3.600000000000005</v>
      </c>
      <c r="BK80" s="25">
        <f t="shared" ref="BK80" si="1067">IF(BK79=0,0,IF(BK79&gt;BK76,BK79-BK76,0))</f>
        <v>3.600000000000005</v>
      </c>
      <c r="BL80" s="1" t="s">
        <v>187</v>
      </c>
      <c r="BM80" s="1" t="s">
        <v>14</v>
      </c>
      <c r="BO80" s="25">
        <f t="shared" ref="BO80" si="1068">IF(BO79=0,0,IF(BO79&gt;BO76,BO79-BO76,0))</f>
        <v>0</v>
      </c>
      <c r="BP80" s="25">
        <f t="shared" ref="BP80" si="1069">IF(BP79=0,0,IF(BP79&gt;BP76,BP79-BP76,0))</f>
        <v>0</v>
      </c>
      <c r="BQ80" s="25">
        <f t="shared" ref="BQ80" si="1070">IF(BQ79=0,0,IF(BQ79&gt;BQ76,BQ79-BQ76,0))</f>
        <v>0</v>
      </c>
      <c r="BR80" s="25">
        <f t="shared" ref="BR80" si="1071">IF(BR79=0,0,IF(BR79&gt;BR76,BR79-BR76,0))</f>
        <v>0</v>
      </c>
      <c r="BS80" s="25">
        <f t="shared" ref="BS80" si="1072">IF(BS79=0,0,IF(BS79&gt;BS76,BS79-BS76,0))</f>
        <v>3.600000000000005</v>
      </c>
      <c r="BT80" s="25">
        <f t="shared" ref="BT80" si="1073">IF(BT79=0,0,IF(BT79&gt;BT76,BT79-BT76,0))</f>
        <v>3.600000000000005</v>
      </c>
      <c r="BU80" s="25">
        <f t="shared" ref="BU80" si="1074">IF(BU79=0,0,IF(BU79&gt;BU76,BU79-BU76,0))</f>
        <v>3.600000000000005</v>
      </c>
      <c r="BV80" s="25">
        <f>IF(BV79=0,0,IF(BV79&gt;BV76,BV79-BV76,0))</f>
        <v>3.600000000000005</v>
      </c>
      <c r="BW80" s="25">
        <f t="shared" ref="BW80" si="1075">IF(BW79=0,0,IF(BW79&gt;BW76,BW79-BW76,0))</f>
        <v>3.600000000000005</v>
      </c>
      <c r="BX80" s="25">
        <f t="shared" ref="BX80" si="1076">IF(BX79=0,0,IF(BX79&gt;BX76,BX79-BX76,0))</f>
        <v>3.600000000000005</v>
      </c>
      <c r="BY80" s="25">
        <f t="shared" ref="BY80" si="1077">IF(BY79=0,0,IF(BY79&gt;BY76,BY79-BY76,0))</f>
        <v>3.600000000000005</v>
      </c>
      <c r="BZ80" s="25">
        <f t="shared" ref="BZ80" si="1078">IF(BZ79=0,0,IF(BZ79&gt;BZ76,BZ79-BZ76,0))</f>
        <v>3.600000000000005</v>
      </c>
      <c r="CA80" s="25">
        <f t="shared" ref="CA80" si="1079">IF(CA79=0,0,IF(CA79&gt;CA76,CA79-CA76,0))</f>
        <v>3.600000000000005</v>
      </c>
      <c r="CB80" s="25">
        <f t="shared" ref="CB80" si="1080">IF(CB79=0,0,IF(CB79&gt;CB76,CB79-CB76,0))</f>
        <v>3.600000000000005</v>
      </c>
      <c r="CC80" s="25">
        <f t="shared" ref="CC80" si="1081">IF(CC79=0,0,IF(CC79&gt;CC76,CC79-CC76,0))</f>
        <v>3.600000000000005</v>
      </c>
      <c r="CD80" s="25">
        <f t="shared" ref="CD80" si="1082">IF(CD79=0,0,IF(CD79&gt;CD76,CD79-CD76,0))</f>
        <v>3.600000000000005</v>
      </c>
      <c r="CE80" s="25">
        <f t="shared" ref="CE80" si="1083">IF(CE79=0,0,IF(CE79&gt;CE76,CE79-CE76,0))</f>
        <v>3.600000000000005</v>
      </c>
      <c r="CF80" s="25">
        <f t="shared" ref="CF80" si="1084">IF(CF79=0,0,IF(CF79&gt;CF76,CF79-CF76,0))</f>
        <v>3.600000000000005</v>
      </c>
      <c r="CG80" s="25">
        <f t="shared" ref="CG80" si="1085">IF(CG79=0,0,IF(CG79&gt;CG76,CG79-CG76,0))</f>
        <v>3.600000000000005</v>
      </c>
      <c r="CH80" s="25">
        <f t="shared" ref="CH80" si="1086">IF(CH79=0,0,IF(CH79&gt;CH76,CH79-CH76,0))</f>
        <v>3.600000000000005</v>
      </c>
      <c r="CI80" s="25">
        <f t="shared" ref="CI80" si="1087">IF(CI79=0,0,IF(CI79&gt;CI76,CI79-CI76,0))</f>
        <v>3.600000000000005</v>
      </c>
      <c r="CJ80" s="25">
        <f t="shared" ref="CJ80" si="1088">IF(CJ79=0,0,IF(CJ79&gt;CJ76,CJ79-CJ76,0))</f>
        <v>3.600000000000005</v>
      </c>
      <c r="CK80" s="25">
        <f t="shared" ref="CK80" si="1089">IF(CK79=0,0,IF(CK79&gt;CK76,CK79-CK76,0))</f>
        <v>0</v>
      </c>
      <c r="CL80" s="1" t="s">
        <v>187</v>
      </c>
      <c r="CM80" s="1" t="s">
        <v>14</v>
      </c>
      <c r="CO80" s="25">
        <f t="shared" ref="CO80" si="1090">IF(CO79=0,0,IF(CO79&gt;CO76,CO79-CO76,0))</f>
        <v>0</v>
      </c>
      <c r="CP80" s="25">
        <f t="shared" ref="CP80" si="1091">IF(CP79=0,0,IF(CP79&gt;CP76,CP79-CP76,0))</f>
        <v>0</v>
      </c>
      <c r="CQ80" s="25">
        <f t="shared" ref="CQ80" si="1092">IF(CQ79=0,0,IF(CQ79&gt;CQ76,CQ79-CQ76,0))</f>
        <v>0</v>
      </c>
      <c r="CR80" s="25">
        <f t="shared" ref="CR80" si="1093">IF(CR79=0,0,IF(CR79&gt;CR76,CR79-CR76,0))</f>
        <v>3.600000000000005</v>
      </c>
      <c r="CS80" s="25">
        <f t="shared" ref="CS80" si="1094">IF(CS79=0,0,IF(CS79&gt;CS76,CS79-CS76,0))</f>
        <v>3.600000000000005</v>
      </c>
      <c r="CT80" s="25">
        <f t="shared" ref="CT80" si="1095">IF(CT79=0,0,IF(CT79&gt;CT76,CT79-CT76,0))</f>
        <v>3.600000000000005</v>
      </c>
      <c r="CU80" s="25">
        <f t="shared" ref="CU80" si="1096">IF(CU79=0,0,IF(CU79&gt;CU76,CU79-CU76,0))</f>
        <v>3.600000000000005</v>
      </c>
      <c r="CV80" s="25">
        <f>IF(CV79=0,0,IF(CV79&gt;CV76,CV79-CV76,0))</f>
        <v>3.600000000000005</v>
      </c>
      <c r="CW80" s="25">
        <f t="shared" ref="CW80" si="1097">IF(CW79=0,0,IF(CW79&gt;CW76,CW79-CW76,0))</f>
        <v>3.600000000000005</v>
      </c>
      <c r="CX80" s="25">
        <f t="shared" ref="CX80" si="1098">IF(CX79=0,0,IF(CX79&gt;CX76,CX79-CX76,0))</f>
        <v>3.600000000000005</v>
      </c>
      <c r="CY80" s="25">
        <f t="shared" ref="CY80" si="1099">IF(CY79=0,0,IF(CY79&gt;CY76,CY79-CY76,0))</f>
        <v>3.600000000000005</v>
      </c>
      <c r="CZ80" s="25">
        <f t="shared" ref="CZ80" si="1100">IF(CZ79=0,0,IF(CZ79&gt;CZ76,CZ79-CZ76,0))</f>
        <v>3.600000000000005</v>
      </c>
      <c r="DA80" s="25">
        <f t="shared" ref="DA80" si="1101">IF(DA79=0,0,IF(DA79&gt;DA76,DA79-DA76,0))</f>
        <v>3.600000000000005</v>
      </c>
      <c r="DB80" s="25">
        <f t="shared" ref="DB80" si="1102">IF(DB79=0,0,IF(DB79&gt;DB76,DB79-DB76,0))</f>
        <v>3.600000000000005</v>
      </c>
      <c r="DC80" s="25">
        <f t="shared" ref="DC80" si="1103">IF(DC79=0,0,IF(DC79&gt;DC76,DC79-DC76,0))</f>
        <v>3.600000000000005</v>
      </c>
      <c r="DD80" s="25">
        <f t="shared" ref="DD80" si="1104">IF(DD79=0,0,IF(DD79&gt;DD76,DD79-DD76,0))</f>
        <v>3.600000000000005</v>
      </c>
      <c r="DE80" s="25">
        <f t="shared" ref="DE80" si="1105">IF(DE79=0,0,IF(DE79&gt;DE76,DE79-DE76,0))</f>
        <v>3.600000000000005</v>
      </c>
      <c r="DF80" s="25">
        <f t="shared" ref="DF80" si="1106">IF(DF79=0,0,IF(DF79&gt;DF76,DF79-DF76,0))</f>
        <v>3.600000000000005</v>
      </c>
      <c r="DG80" s="25">
        <f t="shared" ref="DG80" si="1107">IF(DG79=0,0,IF(DG79&gt;DG76,DG79-DG76,0))</f>
        <v>3.600000000000005</v>
      </c>
      <c r="DH80" s="25">
        <f t="shared" ref="DH80" si="1108">IF(DH79=0,0,IF(DH79&gt;DH76,DH79-DH76,0))</f>
        <v>3.600000000000005</v>
      </c>
      <c r="DI80" s="25">
        <f t="shared" ref="DI80" si="1109">IF(DI79=0,0,IF(DI79&gt;DI76,DI79-DI76,0))</f>
        <v>3.600000000000005</v>
      </c>
      <c r="DJ80" s="25">
        <f t="shared" ref="DJ80" si="1110">IF(DJ79=0,0,IF(DJ79&gt;DJ76,DJ79-DJ76,0))</f>
        <v>3.600000000000005</v>
      </c>
      <c r="DK80" s="25">
        <f t="shared" ref="DK80" si="1111">IF(DK79=0,0,IF(DK79&gt;DK76,DK79-DK76,0))</f>
        <v>3.600000000000005</v>
      </c>
      <c r="DL80" s="1" t="s">
        <v>187</v>
      </c>
      <c r="DM80" s="1" t="s">
        <v>14</v>
      </c>
      <c r="DO80" s="25">
        <f t="shared" ref="DO80" si="1112">IF(DO79=0,0,IF(DO79&gt;DO76,DO79-DO76,0))</f>
        <v>0</v>
      </c>
      <c r="DP80" s="25">
        <f t="shared" ref="DP80" si="1113">IF(DP79=0,0,IF(DP79&gt;DP76,DP79-DP76,0))</f>
        <v>0</v>
      </c>
      <c r="DQ80" s="25">
        <f t="shared" ref="DQ80" si="1114">IF(DQ79=0,0,IF(DQ79&gt;DQ76,DQ79-DQ76,0))</f>
        <v>0</v>
      </c>
      <c r="DR80" s="25">
        <f t="shared" ref="DR80" si="1115">IF(DR79=0,0,IF(DR79&gt;DR76,DR79-DR76,0))</f>
        <v>3.600000000000005</v>
      </c>
      <c r="DS80" s="25">
        <f t="shared" ref="DS80" si="1116">IF(DS79=0,0,IF(DS79&gt;DS76,DS79-DS76,0))</f>
        <v>3.600000000000005</v>
      </c>
      <c r="DT80" s="25">
        <f t="shared" ref="DT80" si="1117">IF(DT79=0,0,IF(DT79&gt;DT76,DT79-DT76,0))</f>
        <v>3.600000000000005</v>
      </c>
      <c r="DU80" s="25">
        <f t="shared" ref="DU80" si="1118">IF(DU79=0,0,IF(DU79&gt;DU76,DU79-DU76,0))</f>
        <v>3.600000000000005</v>
      </c>
      <c r="DV80" s="25">
        <f>IF(DV79=0,0,IF(DV79&gt;DV76,DV79-DV76,0))</f>
        <v>3.600000000000005</v>
      </c>
      <c r="DW80" s="25">
        <f t="shared" ref="DW80" si="1119">IF(DW79=0,0,IF(DW79&gt;DW76,DW79-DW76,0))</f>
        <v>3.600000000000005</v>
      </c>
      <c r="DX80" s="25">
        <f t="shared" ref="DX80" si="1120">IF(DX79=0,0,IF(DX79&gt;DX76,DX79-DX76,0))</f>
        <v>3.600000000000005</v>
      </c>
      <c r="DY80" s="25">
        <f t="shared" ref="DY80" si="1121">IF(DY79=0,0,IF(DY79&gt;DY76,DY79-DY76,0))</f>
        <v>3.600000000000005</v>
      </c>
      <c r="DZ80" s="25">
        <f t="shared" ref="DZ80" si="1122">IF(DZ79=0,0,IF(DZ79&gt;DZ76,DZ79-DZ76,0))</f>
        <v>3.600000000000005</v>
      </c>
      <c r="EA80" s="25">
        <f t="shared" ref="EA80" si="1123">IF(EA79=0,0,IF(EA79&gt;EA76,EA79-EA76,0))</f>
        <v>3.600000000000005</v>
      </c>
      <c r="EB80" s="25">
        <f t="shared" ref="EB80" si="1124">IF(EB79=0,0,IF(EB79&gt;EB76,EB79-EB76,0))</f>
        <v>3.600000000000005</v>
      </c>
      <c r="EC80" s="25">
        <f t="shared" ref="EC80" si="1125">IF(EC79=0,0,IF(EC79&gt;EC76,EC79-EC76,0))</f>
        <v>3.600000000000005</v>
      </c>
      <c r="ED80" s="25">
        <f t="shared" ref="ED80" si="1126">IF(ED79=0,0,IF(ED79&gt;ED76,ED79-ED76,0))</f>
        <v>3.600000000000005</v>
      </c>
      <c r="EE80" s="25">
        <f t="shared" ref="EE80" si="1127">IF(EE79=0,0,IF(EE79&gt;EE76,EE79-EE76,0))</f>
        <v>3.600000000000005</v>
      </c>
      <c r="EF80" s="25">
        <f t="shared" ref="EF80" si="1128">IF(EF79=0,0,IF(EF79&gt;EF76,EF79-EF76,0))</f>
        <v>3.600000000000005</v>
      </c>
      <c r="EG80" s="25">
        <f t="shared" ref="EG80" si="1129">IF(EG79=0,0,IF(EG79&gt;EG76,EG79-EG76,0))</f>
        <v>3.600000000000005</v>
      </c>
      <c r="EH80" s="25">
        <f t="shared" ref="EH80" si="1130">IF(EH79=0,0,IF(EH79&gt;EH76,EH79-EH76,0))</f>
        <v>3.600000000000005</v>
      </c>
      <c r="EI80" s="25">
        <f t="shared" ref="EI80" si="1131">IF(EI79=0,0,IF(EI79&gt;EI76,EI79-EI76,0))</f>
        <v>3.600000000000005</v>
      </c>
      <c r="EJ80" s="25">
        <f t="shared" ref="EJ80" si="1132">IF(EJ79=0,0,IF(EJ79&gt;EJ76,EJ79-EJ76,0))</f>
        <v>3.600000000000005</v>
      </c>
      <c r="EK80" s="25">
        <f t="shared" ref="EK80" si="1133">IF(EK79=0,0,IF(EK79&gt;EK76,EK79-EK76,0))</f>
        <v>3.600000000000005</v>
      </c>
      <c r="EL80" s="1" t="s">
        <v>187</v>
      </c>
      <c r="EM80" s="1" t="s">
        <v>14</v>
      </c>
      <c r="EO80" s="25">
        <f t="shared" ref="EO80" si="1134">IF(EO79=0,0,IF(EO79&gt;EO76,EO79-EO76,0))</f>
        <v>3.600000000000005</v>
      </c>
      <c r="EP80" s="25">
        <f t="shared" ref="EP80" si="1135">IF(EP79=0,0,IF(EP79&gt;EP76,EP79-EP76,0))</f>
        <v>3.600000000000005</v>
      </c>
      <c r="EQ80" s="25">
        <f t="shared" ref="EQ80" si="1136">IF(EQ79=0,0,IF(EQ79&gt;EQ76,EQ79-EQ76,0))</f>
        <v>3.600000000000005</v>
      </c>
      <c r="ER80" s="25">
        <f t="shared" ref="ER80" si="1137">IF(ER79=0,0,IF(ER79&gt;ER76,ER79-ER76,0))</f>
        <v>3.600000000000005</v>
      </c>
      <c r="ES80" s="25">
        <f t="shared" ref="ES80" si="1138">IF(ES79=0,0,IF(ES79&gt;ES76,ES79-ES76,0))</f>
        <v>3.600000000000005</v>
      </c>
      <c r="ET80" s="25">
        <f t="shared" ref="ET80" si="1139">IF(ET79=0,0,IF(ET79&gt;ET76,ET79-ET76,0))</f>
        <v>3.600000000000005</v>
      </c>
      <c r="EU80" s="25">
        <f t="shared" ref="EU80" si="1140">IF(EU79=0,0,IF(EU79&gt;EU76,EU79-EU76,0))</f>
        <v>3.600000000000005</v>
      </c>
      <c r="EV80" s="25">
        <f>IF(EV79=0,0,IF(EV79&gt;EV76,EV79-EV76,0))</f>
        <v>3.600000000000005</v>
      </c>
      <c r="EW80" s="25">
        <f t="shared" ref="EW80" si="1141">IF(EW79=0,0,IF(EW79&gt;EW76,EW79-EW76,0))</f>
        <v>3.600000000000005</v>
      </c>
      <c r="EX80" s="25">
        <f t="shared" ref="EX80" si="1142">IF(EX79=0,0,IF(EX79&gt;EX76,EX79-EX76,0))</f>
        <v>3.600000000000005</v>
      </c>
      <c r="EY80" s="25">
        <f t="shared" ref="EY80" si="1143">IF(EY79=0,0,IF(EY79&gt;EY76,EY79-EY76,0))</f>
        <v>3.600000000000005</v>
      </c>
      <c r="EZ80" s="25">
        <f t="shared" ref="EZ80" si="1144">IF(EZ79=0,0,IF(EZ79&gt;EZ76,EZ79-EZ76,0))</f>
        <v>3.600000000000005</v>
      </c>
      <c r="FA80" s="25">
        <f t="shared" ref="FA80" si="1145">IF(FA79=0,0,IF(FA79&gt;FA76,FA79-FA76,0))</f>
        <v>3.600000000000005</v>
      </c>
      <c r="FB80" s="25">
        <f t="shared" ref="FB80" si="1146">IF(FB79=0,0,IF(FB79&gt;FB76,FB79-FB76,0))</f>
        <v>3.600000000000005</v>
      </c>
      <c r="FC80" s="25">
        <f t="shared" ref="FC80" si="1147">IF(FC79=0,0,IF(FC79&gt;FC76,FC79-FC76,0))</f>
        <v>3.600000000000005</v>
      </c>
      <c r="FD80" s="25">
        <f t="shared" ref="FD80" si="1148">IF(FD79=0,0,IF(FD79&gt;FD76,FD79-FD76,0))</f>
        <v>3.600000000000005</v>
      </c>
      <c r="FE80" s="25">
        <f t="shared" ref="FE80" si="1149">IF(FE79=0,0,IF(FE79&gt;FE76,FE79-FE76,0))</f>
        <v>3.600000000000005</v>
      </c>
      <c r="FF80" s="25">
        <f t="shared" ref="FF80" si="1150">IF(FF79=0,0,IF(FF79&gt;FF76,FF79-FF76,0))</f>
        <v>3.600000000000005</v>
      </c>
      <c r="FG80" s="25">
        <f t="shared" ref="FG80" si="1151">IF(FG79=0,0,IF(FG79&gt;FG76,FG79-FG76,0))</f>
        <v>3.600000000000005</v>
      </c>
      <c r="FH80" s="25">
        <f t="shared" ref="FH80" si="1152">IF(FH79=0,0,IF(FH79&gt;FH76,FH79-FH76,0))</f>
        <v>3.600000000000005</v>
      </c>
      <c r="FI80" s="25">
        <f t="shared" ref="FI80" si="1153">IF(FI79=0,0,IF(FI79&gt;FI76,FI79-FI76,0))</f>
        <v>3.600000000000005</v>
      </c>
      <c r="FJ80" s="25">
        <f t="shared" ref="FJ80" si="1154">IF(FJ79=0,0,IF(FJ79&gt;FJ76,FJ79-FJ76,0))</f>
        <v>3.600000000000005</v>
      </c>
      <c r="FK80" s="25">
        <f t="shared" ref="FK80" si="1155">IF(FK79=0,0,IF(FK79&gt;FK76,FK79-FK76,0))</f>
        <v>3.600000000000005</v>
      </c>
    </row>
    <row r="81" spans="2:167" x14ac:dyDescent="0.25">
      <c r="B81" s="37" t="s">
        <v>32</v>
      </c>
      <c r="D81" s="1" t="s">
        <v>6</v>
      </c>
      <c r="E81" s="88">
        <v>0.8</v>
      </c>
      <c r="G81" s="1" t="s">
        <v>109</v>
      </c>
      <c r="I81" s="1" t="s">
        <v>18</v>
      </c>
      <c r="J81" s="89">
        <v>270</v>
      </c>
      <c r="L81" s="1" t="s">
        <v>72</v>
      </c>
      <c r="M81" s="1" t="s">
        <v>14</v>
      </c>
      <c r="N81" s="25">
        <f>N76-N79</f>
        <v>28.8</v>
      </c>
      <c r="O81" s="25">
        <f t="shared" ref="O81" si="1156">IF(O80&gt;0,IF(O85="NO",IF(O88="NO",N81-O80,N81+O76),N81+O76),IF(O88="NO",N81+O76,N81))</f>
        <v>57.6</v>
      </c>
      <c r="P81" s="25">
        <f t="shared" ref="P81" si="1157">IF(P80&gt;0,IF(P85="NO",IF(P88="NO",O81-P80,O81+P76),O81+P76),IF(P88="NO",O81+P76,O81))</f>
        <v>86.4</v>
      </c>
      <c r="Q81" s="25">
        <f t="shared" ref="Q81" si="1158">IF(Q80&gt;0,IF(Q85="NO",IF(Q88="NO",P81-Q80,P81+Q76),P81+Q76),IF(Q88="NO",P81+Q76,P81))</f>
        <v>115.2</v>
      </c>
      <c r="R81" s="25">
        <f t="shared" ref="R81" si="1159">IF(R80&gt;0,IF(R85="NO",IF(R88="NO",Q81-R80,Q81+R76),Q81+R76),IF(R88="NO",Q81+R76,Q81))</f>
        <v>144</v>
      </c>
      <c r="S81" s="25">
        <f t="shared" ref="S81" si="1160">IF(S80&gt;0,IF(S85="NO",IF(S88="NO",R81-S80,R81+S76),R81+S76),IF(S88="NO",R81+S76,R81))</f>
        <v>140.4</v>
      </c>
      <c r="T81" s="25">
        <f t="shared" ref="T81" si="1161">IF(T80&gt;0,IF(T85="NO",IF(T88="NO",S81-T80,S81+T76),S81+T76),IF(T88="NO",S81+T76,S81))</f>
        <v>136.80000000000001</v>
      </c>
      <c r="U81" s="25">
        <f t="shared" ref="U81" si="1162">IF(U80&gt;0,IF(U85="NO",IF(U88="NO",T81-U80,T81+U76),T81+U76),IF(U88="NO",T81+U76,T81))</f>
        <v>133.20000000000002</v>
      </c>
      <c r="V81" s="25">
        <f>IF(V80&gt;0,IF(V85="NO",IF(V88="NO",U81-V80,U81+V76),U81+V76),IF(V88="NO",U81+V76,U81))</f>
        <v>129.60000000000002</v>
      </c>
      <c r="W81" s="25">
        <f t="shared" ref="W81" si="1163">IF(W80&gt;0,IF(W85="NO",IF(W88="NO",V81-(W79-W76),V81+W76),V81+W76),IF(W88="NO",V81+W76,V81))</f>
        <v>126.00000000000001</v>
      </c>
      <c r="X81" s="25">
        <f t="shared" ref="X81" si="1164">IF(X80&gt;0,IF(X85="NO",IF(X88="NO",W81-(X79-X76),W81+X76),W81+X76),IF(X88="NO",W81+X76,W81))</f>
        <v>122.4</v>
      </c>
      <c r="Y81" s="25">
        <f t="shared" ref="Y81" si="1165">IF(Y80&gt;0,IF(Y85="NO",IF(Y88="NO",X81-(Y79-Y76),X81+Y76),X81+Y76),IF(Y88="NO",X81+Y76,X81))</f>
        <v>118.8</v>
      </c>
      <c r="Z81" s="25">
        <f t="shared" ref="Z81" si="1166">IF(Z80&gt;0,IF(Z85="NO",IF(Z88="NO",Y81-(Z79-Z76),Y81+Z76),Y81+Z76),IF(Z88="NO",Y81+Z76,Y81))</f>
        <v>115.19999999999999</v>
      </c>
      <c r="AA81" s="25">
        <f t="shared" ref="AA81" si="1167">IF(AA80&gt;0,IF(AA85="NO",IF(AA88="NO",Z81-(AA79-AA76),Z81+AA76),Z81+AA76),IF(AA88="NO",Z81+AA76,Z81))</f>
        <v>111.59999999999998</v>
      </c>
      <c r="AB81" s="25">
        <f t="shared" ref="AB81" si="1168">IF(AB80&gt;0,IF(AB85="NO",IF(AB88="NO",AA81-(AB79-AB76),AA81+AB76),AA81+AB76),IF(AB88="NO",AA81+AB76,AA81))</f>
        <v>107.99999999999997</v>
      </c>
      <c r="AC81" s="25">
        <f t="shared" ref="AC81" si="1169">IF(AC80&gt;0,IF(AC85="NO",IF(AC88="NO",AB81-(AC79-AC76),AB81+AC76),AB81+AC76),IF(AC88="NO",AB81+AC76,AB81))</f>
        <v>104.39999999999996</v>
      </c>
      <c r="AD81" s="25">
        <f t="shared" ref="AD81" si="1170">IF(AD80&gt;0,IF(AD85="NO",IF(AD88="NO",AC81-(AD79-AD76),AC81+AD76),AC81+AD76),IF(AD88="NO",AC81+AD76,AC81))</f>
        <v>100.79999999999995</v>
      </c>
      <c r="AE81" s="25">
        <f t="shared" ref="AE81" si="1171">IF(AE80&gt;0,IF(AE85="NO",IF(AE88="NO",AD81-(AE79-AE76),AD81+AE76),AD81+AE76),IF(AE88="NO",AD81+AE76,AD81))</f>
        <v>97.199999999999946</v>
      </c>
      <c r="AF81" s="25">
        <f t="shared" ref="AF81" si="1172">IF(AF80&gt;0,IF(AF85="NO",IF(AF88="NO",AE81-(AF79-AF76),AE81+AF76),AE81+AF76),IF(AF88="NO",AE81+AF76,AE81))</f>
        <v>93.599999999999937</v>
      </c>
      <c r="AG81" s="25">
        <f t="shared" ref="AG81" si="1173">IF(AG80&gt;0,IF(AG85="NO",IF(AG88="NO",AF81-(AG79-AG76),AF81+AG76),AF81+AG76),IF(AG88="NO",AF81+AG76,AF81))</f>
        <v>89.999999999999929</v>
      </c>
      <c r="AH81" s="25">
        <f t="shared" ref="AH81" si="1174">IF(AH80&gt;0,IF(AH85="NO",IF(AH88="NO",AG81-(AH79-AH76),AG81+AH76),AG81+AH76),IF(AH88="NO",AG81+AH76,AG81))</f>
        <v>86.39999999999992</v>
      </c>
      <c r="AI81" s="25">
        <f t="shared" ref="AI81" si="1175">IF(AI80&gt;0,IF(AI85="NO",IF(AI88="NO",AH81-(AI79-AI76),AH81+AI76),AH81+AI76),IF(AI88="NO",AH81+AI76,AH81))</f>
        <v>82.799999999999912</v>
      </c>
      <c r="AJ81" s="25">
        <f t="shared" ref="AJ81" si="1176">IF(AJ80&gt;0,IF(AJ85="NO",IF(AJ88="NO",AI81-(AJ79-AJ76),AI81+AJ76),AI81+AJ76),IF(AJ88="NO",AI81+AJ76,AI81))</f>
        <v>111.59999999999991</v>
      </c>
      <c r="AK81" s="25">
        <f t="shared" ref="AK81" si="1177">IF(AK80&gt;0,IF(AK85="NO",IF(AK88="NO",AJ81-(AK79-AK76),AJ81+AK76),AJ81+AK76),IF(AK88="NO",AJ81+AK76,AJ81))</f>
        <v>140.39999999999992</v>
      </c>
      <c r="AL81" s="1" t="s">
        <v>72</v>
      </c>
      <c r="AM81" s="1" t="s">
        <v>14</v>
      </c>
      <c r="AN81" s="25">
        <f>AN76-AN79</f>
        <v>28.8</v>
      </c>
      <c r="AO81" s="25">
        <f t="shared" ref="AO81" si="1178">IF(AO80&gt;0,IF(AO85="NO",IF(AO88="NO",AN81-AO80,AN81+AO76),AN81+AO76),IF(AO88="NO",AN81+AO76,AN81))</f>
        <v>57.6</v>
      </c>
      <c r="AP81" s="25">
        <f t="shared" ref="AP81" si="1179">IF(AP80&gt;0,IF(AP85="NO",IF(AP88="NO",AO81-AP80,AO81+AP76),AO81+AP76),IF(AP88="NO",AO81+AP76,AO81))</f>
        <v>86.4</v>
      </c>
      <c r="AQ81" s="25">
        <f t="shared" ref="AQ81" si="1180">IF(AQ80&gt;0,IF(AQ85="NO",IF(AQ88="NO",AP81-AQ80,AP81+AQ76),AP81+AQ76),IF(AQ88="NO",AP81+AQ76,AP81))</f>
        <v>115.2</v>
      </c>
      <c r="AR81" s="25">
        <f t="shared" ref="AR81" si="1181">IF(AR80&gt;0,IF(AR85="NO",IF(AR88="NO",AQ81-AR80,AQ81+AR76),AQ81+AR76),IF(AR88="NO",AQ81+AR76,AQ81))</f>
        <v>144</v>
      </c>
      <c r="AS81" s="25">
        <f t="shared" ref="AS81" si="1182">IF(AS80&gt;0,IF(AS85="NO",IF(AS88="NO",AR81-AS80,AR81+AS76),AR81+AS76),IF(AS88="NO",AR81+AS76,AR81))</f>
        <v>140.4</v>
      </c>
      <c r="AT81" s="25">
        <f t="shared" ref="AT81" si="1183">IF(AT80&gt;0,IF(AT85="NO",IF(AT88="NO",AS81-AT80,AS81+AT76),AS81+AT76),IF(AT88="NO",AS81+AT76,AS81))</f>
        <v>136.80000000000001</v>
      </c>
      <c r="AU81" s="25">
        <f t="shared" ref="AU81" si="1184">IF(AU80&gt;0,IF(AU85="NO",IF(AU88="NO",AT81-AU80,AT81+AU76),AT81+AU76),IF(AU88="NO",AT81+AU76,AT81))</f>
        <v>133.20000000000002</v>
      </c>
      <c r="AV81" s="25">
        <f>IF(AV80&gt;0,IF(AV85="NO",IF(AV88="NO",AU81-AV80,AU81+AV76),AU81+AV76),IF(AV88="NO",AU81+AV76,AU81))</f>
        <v>129.60000000000002</v>
      </c>
      <c r="AW81" s="25">
        <f t="shared" ref="AW81" si="1185">IF(AW80&gt;0,IF(AW85="NO",IF(AW88="NO",AV81-(AW79-AW76),AV81+AW76),AV81+AW76),IF(AW88="NO",AV81+AW76,AV81))</f>
        <v>126.00000000000001</v>
      </c>
      <c r="AX81" s="25">
        <f t="shared" ref="AX81" si="1186">IF(AX80&gt;0,IF(AX85="NO",IF(AX88="NO",AW81-(AX79-AX76),AW81+AX76),AW81+AX76),IF(AX88="NO",AW81+AX76,AW81))</f>
        <v>122.4</v>
      </c>
      <c r="AY81" s="25">
        <f t="shared" ref="AY81" si="1187">IF(AY80&gt;0,IF(AY85="NO",IF(AY88="NO",AX81-(AY79-AY76),AX81+AY76),AX81+AY76),IF(AY88="NO",AX81+AY76,AX81))</f>
        <v>118.8</v>
      </c>
      <c r="AZ81" s="25">
        <f t="shared" ref="AZ81" si="1188">IF(AZ80&gt;0,IF(AZ85="NO",IF(AZ88="NO",AY81-(AZ79-AZ76),AY81+AZ76),AY81+AZ76),IF(AZ88="NO",AY81+AZ76,AY81))</f>
        <v>115.19999999999999</v>
      </c>
      <c r="BA81" s="25">
        <f t="shared" ref="BA81" si="1189">IF(BA80&gt;0,IF(BA85="NO",IF(BA88="NO",AZ81-(BA79-BA76),AZ81+BA76),AZ81+BA76),IF(BA88="NO",AZ81+BA76,AZ81))</f>
        <v>111.59999999999998</v>
      </c>
      <c r="BB81" s="25">
        <f t="shared" ref="BB81" si="1190">IF(BB80&gt;0,IF(BB85="NO",IF(BB88="NO",BA81-(BB79-BB76),BA81+BB76),BA81+BB76),IF(BB88="NO",BA81+BB76,BA81))</f>
        <v>107.99999999999997</v>
      </c>
      <c r="BC81" s="25">
        <f t="shared" ref="BC81" si="1191">IF(BC80&gt;0,IF(BC85="NO",IF(BC88="NO",BB81-(BC79-BC76),BB81+BC76),BB81+BC76),IF(BC88="NO",BB81+BC76,BB81))</f>
        <v>104.39999999999996</v>
      </c>
      <c r="BD81" s="25">
        <f t="shared" ref="BD81" si="1192">IF(BD80&gt;0,IF(BD85="NO",IF(BD88="NO",BC81-(BD79-BD76),BC81+BD76),BC81+BD76),IF(BD88="NO",BC81+BD76,BC81))</f>
        <v>100.79999999999995</v>
      </c>
      <c r="BE81" s="25">
        <f t="shared" ref="BE81" si="1193">IF(BE80&gt;0,IF(BE85="NO",IF(BE88="NO",BD81-(BE79-BE76),BD81+BE76),BD81+BE76),IF(BE88="NO",BD81+BE76,BD81))</f>
        <v>97.199999999999946</v>
      </c>
      <c r="BF81" s="25">
        <f t="shared" ref="BF81" si="1194">IF(BF80&gt;0,IF(BF85="NO",IF(BF88="NO",BE81-(BF79-BF76),BE81+BF76),BE81+BF76),IF(BF88="NO",BE81+BF76,BE81))</f>
        <v>93.599999999999937</v>
      </c>
      <c r="BG81" s="25">
        <f t="shared" ref="BG81" si="1195">IF(BG80&gt;0,IF(BG85="NO",IF(BG88="NO",BF81-(BG79-BG76),BF81+BG76),BF81+BG76),IF(BG88="NO",BF81+BG76,BF81))</f>
        <v>89.999999999999929</v>
      </c>
      <c r="BH81" s="25">
        <f t="shared" ref="BH81" si="1196">IF(BH80&gt;0,IF(BH85="NO",IF(BH88="NO",BG81-(BH79-BH76),BG81+BH76),BG81+BH76),IF(BH88="NO",BG81+BH76,BG81))</f>
        <v>86.39999999999992</v>
      </c>
      <c r="BI81" s="25">
        <f t="shared" ref="BI81" si="1197">IF(BI80&gt;0,IF(BI85="NO",IF(BI88="NO",BH81-(BI79-BI76),BH81+BI76),BH81+BI76),IF(BI88="NO",BH81+BI76,BH81))</f>
        <v>82.799999999999912</v>
      </c>
      <c r="BJ81" s="25">
        <f t="shared" ref="BJ81" si="1198">IF(BJ80&gt;0,IF(BJ85="NO",IF(BJ88="NO",BI81-(BJ79-BJ76),BI81+BJ76),BI81+BJ76),IF(BJ88="NO",BI81+BJ76,BI81))</f>
        <v>79.199999999999903</v>
      </c>
      <c r="BK81" s="25">
        <f t="shared" ref="BK81" si="1199">IF(BK80&gt;0,IF(BK85="NO",IF(BK88="NO",BJ81-(BK79-BK76),BJ81+BK76),BJ81+BK76),IF(BK88="NO",BJ81+BK76,BJ81))</f>
        <v>75.599999999999895</v>
      </c>
      <c r="BL81" s="1" t="s">
        <v>72</v>
      </c>
      <c r="BM81" s="1" t="s">
        <v>14</v>
      </c>
      <c r="BN81" s="25">
        <f>BN76-BN79</f>
        <v>28.8</v>
      </c>
      <c r="BO81" s="25">
        <f t="shared" ref="BO81" si="1200">IF(BO80&gt;0,IF(BO85="NO",IF(BO88="NO",BN81-BO80,BN81+BO76),BN81+BO76),IF(BO88="NO",BN81+BO76,BN81))</f>
        <v>57.6</v>
      </c>
      <c r="BP81" s="25">
        <f t="shared" ref="BP81" si="1201">IF(BP80&gt;0,IF(BP85="NO",IF(BP88="NO",BO81-BP80,BO81+BP76),BO81+BP76),IF(BP88="NO",BO81+BP76,BO81))</f>
        <v>86.4</v>
      </c>
      <c r="BQ81" s="25">
        <f t="shared" ref="BQ81" si="1202">IF(BQ80&gt;0,IF(BQ85="NO",IF(BQ88="NO",BP81-BQ80,BP81+BQ76),BP81+BQ76),IF(BQ88="NO",BP81+BQ76,BP81))</f>
        <v>115.2</v>
      </c>
      <c r="BR81" s="25">
        <f t="shared" ref="BR81" si="1203">IF(BR80&gt;0,IF(BR85="NO",IF(BR88="NO",BQ81-BR80,BQ81+BR76),BQ81+BR76),IF(BR88="NO",BQ81+BR76,BQ81))</f>
        <v>144</v>
      </c>
      <c r="BS81" s="25">
        <f t="shared" ref="BS81" si="1204">IF(BS80&gt;0,IF(BS85="NO",IF(BS88="NO",BR81-BS80,BR81+BS76),BR81+BS76),IF(BS88="NO",BR81+BS76,BR81))</f>
        <v>140.4</v>
      </c>
      <c r="BT81" s="25">
        <f t="shared" ref="BT81" si="1205">IF(BT80&gt;0,IF(BT85="NO",IF(BT88="NO",BS81-BT80,BS81+BT76),BS81+BT76),IF(BT88="NO",BS81+BT76,BS81))</f>
        <v>136.80000000000001</v>
      </c>
      <c r="BU81" s="25">
        <f t="shared" ref="BU81" si="1206">IF(BU80&gt;0,IF(BU85="NO",IF(BU88="NO",BT81-BU80,BT81+BU76),BT81+BU76),IF(BU88="NO",BT81+BU76,BT81))</f>
        <v>133.20000000000002</v>
      </c>
      <c r="BV81" s="25">
        <f>IF(BV80&gt;0,IF(BV85="NO",IF(BV88="NO",BU81-BV80,BU81+BV76),BU81+BV76),IF(BV88="NO",BU81+BV76,BU81))</f>
        <v>129.60000000000002</v>
      </c>
      <c r="BW81" s="25">
        <f t="shared" ref="BW81" si="1207">IF(BW80&gt;0,IF(BW85="NO",IF(BW88="NO",BV81-(BW79-BW76),BV81+BW76),BV81+BW76),IF(BW88="NO",BV81+BW76,BV81))</f>
        <v>126.00000000000001</v>
      </c>
      <c r="BX81" s="25">
        <f t="shared" ref="BX81" si="1208">IF(BX80&gt;0,IF(BX85="NO",IF(BX88="NO",BW81-(BX79-BX76),BW81+BX76),BW81+BX76),IF(BX88="NO",BW81+BX76,BW81))</f>
        <v>122.4</v>
      </c>
      <c r="BY81" s="25">
        <f t="shared" ref="BY81" si="1209">IF(BY80&gt;0,IF(BY85="NO",IF(BY88="NO",BX81-(BY79-BY76),BX81+BY76),BX81+BY76),IF(BY88="NO",BX81+BY76,BX81))</f>
        <v>118.8</v>
      </c>
      <c r="BZ81" s="25">
        <f t="shared" ref="BZ81" si="1210">IF(BZ80&gt;0,IF(BZ85="NO",IF(BZ88="NO",BY81-(BZ79-BZ76),BY81+BZ76),BY81+BZ76),IF(BZ88="NO",BY81+BZ76,BY81))</f>
        <v>115.19999999999999</v>
      </c>
      <c r="CA81" s="25">
        <f t="shared" ref="CA81" si="1211">IF(CA80&gt;0,IF(CA85="NO",IF(CA88="NO",BZ81-(CA79-CA76),BZ81+CA76),BZ81+CA76),IF(CA88="NO",BZ81+CA76,BZ81))</f>
        <v>111.59999999999998</v>
      </c>
      <c r="CB81" s="25">
        <f t="shared" ref="CB81" si="1212">IF(CB80&gt;0,IF(CB85="NO",IF(CB88="NO",CA81-(CB79-CB76),CA81+CB76),CA81+CB76),IF(CB88="NO",CA81+CB76,CA81))</f>
        <v>107.99999999999997</v>
      </c>
      <c r="CC81" s="25">
        <f t="shared" ref="CC81" si="1213">IF(CC80&gt;0,IF(CC85="NO",IF(CC88="NO",CB81-(CC79-CC76),CB81+CC76),CB81+CC76),IF(CC88="NO",CB81+CC76,CB81))</f>
        <v>104.39999999999996</v>
      </c>
      <c r="CD81" s="25">
        <f t="shared" ref="CD81" si="1214">IF(CD80&gt;0,IF(CD85="NO",IF(CD88="NO",CC81-(CD79-CD76),CC81+CD76),CC81+CD76),IF(CD88="NO",CC81+CD76,CC81))</f>
        <v>100.79999999999995</v>
      </c>
      <c r="CE81" s="25">
        <f t="shared" ref="CE81" si="1215">IF(CE80&gt;0,IF(CE85="NO",IF(CE88="NO",CD81-(CE79-CE76),CD81+CE76),CD81+CE76),IF(CE88="NO",CD81+CE76,CD81))</f>
        <v>97.199999999999946</v>
      </c>
      <c r="CF81" s="25">
        <f t="shared" ref="CF81" si="1216">IF(CF80&gt;0,IF(CF85="NO",IF(CF88="NO",CE81-(CF79-CF76),CE81+CF76),CE81+CF76),IF(CF88="NO",CE81+CF76,CE81))</f>
        <v>93.599999999999937</v>
      </c>
      <c r="CG81" s="25">
        <f t="shared" ref="CG81" si="1217">IF(CG80&gt;0,IF(CG85="NO",IF(CG88="NO",CF81-(CG79-CG76),CF81+CG76),CF81+CG76),IF(CG88="NO",CF81+CG76,CF81))</f>
        <v>89.999999999999929</v>
      </c>
      <c r="CH81" s="25">
        <f t="shared" ref="CH81" si="1218">IF(CH80&gt;0,IF(CH85="NO",IF(CH88="NO",CG81-(CH79-CH76),CG81+CH76),CG81+CH76),IF(CH88="NO",CG81+CH76,CG81))</f>
        <v>86.39999999999992</v>
      </c>
      <c r="CI81" s="25">
        <f t="shared" ref="CI81" si="1219">IF(CI80&gt;0,IF(CI85="NO",IF(CI88="NO",CH81-(CI79-CI76),CH81+CI76),CH81+CI76),IF(CI88="NO",CH81+CI76,CH81))</f>
        <v>82.799999999999912</v>
      </c>
      <c r="CJ81" s="25">
        <f t="shared" ref="CJ81" si="1220">IF(CJ80&gt;0,IF(CJ85="NO",IF(CJ88="NO",CI81-(CJ79-CJ76),CI81+CJ76),CI81+CJ76),IF(CJ88="NO",CI81+CJ76,CI81))</f>
        <v>79.199999999999903</v>
      </c>
      <c r="CK81" s="25">
        <f t="shared" ref="CK81" si="1221">IF(CK80&gt;0,IF(CK85="NO",IF(CK88="NO",CJ81-(CK79-CK76),CJ81+CK76),CJ81+CK76),IF(CK88="NO",CJ81+CK76,CJ81))</f>
        <v>107.9999999999999</v>
      </c>
      <c r="CL81" s="1" t="s">
        <v>72</v>
      </c>
      <c r="CM81" s="1" t="s">
        <v>14</v>
      </c>
      <c r="CN81" s="25">
        <f>CN76-CN79</f>
        <v>28.8</v>
      </c>
      <c r="CO81" s="25">
        <f t="shared" ref="CO81" si="1222">IF(CO80&gt;0,IF(CO85="NO",IF(CO88="NO",CN81-CO80,CN81+CO76),CN81+CO76),IF(CO88="NO",CN81+CO76,CN81))</f>
        <v>57.6</v>
      </c>
      <c r="CP81" s="25">
        <f t="shared" ref="CP81" si="1223">IF(CP80&gt;0,IF(CP85="NO",IF(CP88="NO",CO81-CP80,CO81+CP76),CO81+CP76),IF(CP88="NO",CO81+CP76,CO81))</f>
        <v>86.4</v>
      </c>
      <c r="CQ81" s="25">
        <f t="shared" ref="CQ81" si="1224">IF(CQ80&gt;0,IF(CQ85="NO",IF(CQ88="NO",CP81-CQ80,CP81+CQ76),CP81+CQ76),IF(CQ88="NO",CP81+CQ76,CP81))</f>
        <v>115.2</v>
      </c>
      <c r="CR81" s="25">
        <f t="shared" ref="CR81" si="1225">IF(CR80&gt;0,IF(CR85="NO",IF(CR88="NO",CQ81-CR80,CQ81+CR76),CQ81+CR76),IF(CR88="NO",CQ81+CR76,CQ81))</f>
        <v>111.6</v>
      </c>
      <c r="CS81" s="25">
        <f t="shared" ref="CS81" si="1226">IF(CS80&gt;0,IF(CS85="NO",IF(CS88="NO",CR81-CS80,CR81+CS76),CR81+CS76),IF(CS88="NO",CR81+CS76,CR81))</f>
        <v>107.99999999999999</v>
      </c>
      <c r="CT81" s="25">
        <f t="shared" ref="CT81" si="1227">IF(CT80&gt;0,IF(CT85="NO",IF(CT88="NO",CS81-CT80,CS81+CT76),CS81+CT76),IF(CT88="NO",CS81+CT76,CS81))</f>
        <v>104.39999999999998</v>
      </c>
      <c r="CU81" s="25">
        <f t="shared" ref="CU81" si="1228">IF(CU80&gt;0,IF(CU85="NO",IF(CU88="NO",CT81-CU80,CT81+CU76),CT81+CU76),IF(CU88="NO",CT81+CU76,CT81))</f>
        <v>100.79999999999997</v>
      </c>
      <c r="CV81" s="25">
        <f>IF(CV80&gt;0,IF(CV85="NO",IF(CV88="NO",CU81-CV80,CU81+CV76),CU81+CV76),IF(CV88="NO",CU81+CV76,CU81))</f>
        <v>97.19999999999996</v>
      </c>
      <c r="CW81" s="25">
        <f t="shared" ref="CW81" si="1229">IF(CW80&gt;0,IF(CW85="NO",IF(CW88="NO",CV81-(CW79-CW76),CV81+CW76),CV81+CW76),IF(CW88="NO",CV81+CW76,CV81))</f>
        <v>93.599999999999952</v>
      </c>
      <c r="CX81" s="25">
        <f t="shared" ref="CX81" si="1230">IF(CX80&gt;0,IF(CX85="NO",IF(CX88="NO",CW81-(CX79-CX76),CW81+CX76),CW81+CX76),IF(CX88="NO",CW81+CX76,CW81))</f>
        <v>89.999999999999943</v>
      </c>
      <c r="CY81" s="25">
        <f t="shared" ref="CY81" si="1231">IF(CY80&gt;0,IF(CY85="NO",IF(CY88="NO",CX81-(CY79-CY76),CX81+CY76),CX81+CY76),IF(CY88="NO",CX81+CY76,CX81))</f>
        <v>86.399999999999935</v>
      </c>
      <c r="CZ81" s="25">
        <f t="shared" ref="CZ81" si="1232">IF(CZ80&gt;0,IF(CZ85="NO",IF(CZ88="NO",CY81-(CZ79-CZ76),CY81+CZ76),CY81+CZ76),IF(CZ88="NO",CY81+CZ76,CY81))</f>
        <v>82.799999999999926</v>
      </c>
      <c r="DA81" s="25">
        <f t="shared" ref="DA81" si="1233">IF(DA80&gt;0,IF(DA85="NO",IF(DA88="NO",CZ81-(DA79-DA76),CZ81+DA76),CZ81+DA76),IF(DA88="NO",CZ81+DA76,CZ81))</f>
        <v>79.199999999999918</v>
      </c>
      <c r="DB81" s="25">
        <f t="shared" ref="DB81" si="1234">IF(DB80&gt;0,IF(DB85="NO",IF(DB88="NO",DA81-(DB79-DB76),DA81+DB76),DA81+DB76),IF(DB88="NO",DA81+DB76,DA81))</f>
        <v>75.599999999999909</v>
      </c>
      <c r="DC81" s="25">
        <f t="shared" ref="DC81" si="1235">IF(DC80&gt;0,IF(DC85="NO",IF(DC88="NO",DB81-(DC79-DC76),DB81+DC76),DB81+DC76),IF(DC88="NO",DB81+DC76,DB81))</f>
        <v>71.999999999999901</v>
      </c>
      <c r="DD81" s="25">
        <f t="shared" ref="DD81" si="1236">IF(DD80&gt;0,IF(DD85="NO",IF(DD88="NO",DC81-(DD79-DD76),DC81+DD76),DC81+DD76),IF(DD88="NO",DC81+DD76,DC81))</f>
        <v>68.399999999999892</v>
      </c>
      <c r="DE81" s="25">
        <f t="shared" ref="DE81" si="1237">IF(DE80&gt;0,IF(DE85="NO",IF(DE88="NO",DD81-(DE79-DE76),DD81+DE76),DD81+DE76),IF(DE88="NO",DD81+DE76,DD81))</f>
        <v>64.799999999999883</v>
      </c>
      <c r="DF81" s="25">
        <f t="shared" ref="DF81" si="1238">IF(DF80&gt;0,IF(DF85="NO",IF(DF88="NO",DE81-(DF79-DF76),DE81+DF76),DE81+DF76),IF(DF88="NO",DE81+DF76,DE81))</f>
        <v>61.199999999999875</v>
      </c>
      <c r="DG81" s="25">
        <f t="shared" ref="DG81" si="1239">IF(DG80&gt;0,IF(DG85="NO",IF(DG88="NO",DF81-(DG79-DG76),DF81+DG76),DF81+DG76),IF(DG88="NO",DF81+DG76,DF81))</f>
        <v>57.599999999999866</v>
      </c>
      <c r="DH81" s="25">
        <f t="shared" ref="DH81" si="1240">IF(DH80&gt;0,IF(DH85="NO",IF(DH88="NO",DG81-(DH79-DH76),DG81+DH76),DG81+DH76),IF(DH88="NO",DG81+DH76,DG81))</f>
        <v>53.999999999999858</v>
      </c>
      <c r="DI81" s="25">
        <f t="shared" ref="DI81" si="1241">IF(DI80&gt;0,IF(DI85="NO",IF(DI88="NO",DH81-(DI79-DI76),DH81+DI76),DH81+DI76),IF(DI88="NO",DH81+DI76,DH81))</f>
        <v>50.399999999999849</v>
      </c>
      <c r="DJ81" s="25">
        <f t="shared" ref="DJ81" si="1242">IF(DJ80&gt;0,IF(DJ85="NO",IF(DJ88="NO",DI81-(DJ79-DJ76),DI81+DJ76),DI81+DJ76),IF(DJ88="NO",DI81+DJ76,DI81))</f>
        <v>46.799999999999841</v>
      </c>
      <c r="DK81" s="25">
        <f t="shared" ref="DK81" si="1243">IF(DK80&gt;0,IF(DK85="NO",IF(DK88="NO",DJ81-(DK79-DK76),DJ81+DK76),DJ81+DK76),IF(DK88="NO",DJ81+DK76,DJ81))</f>
        <v>43.199999999999832</v>
      </c>
      <c r="DL81" s="1" t="s">
        <v>72</v>
      </c>
      <c r="DM81" s="1" t="s">
        <v>14</v>
      </c>
      <c r="DN81" s="25">
        <f>DN76-DN79</f>
        <v>28.8</v>
      </c>
      <c r="DO81" s="25">
        <f t="shared" ref="DO81" si="1244">IF(DO80&gt;0,IF(DO85="NO",IF(DO88="NO",DN81-DO80,DN81+DO76),DN81+DO76),IF(DO88="NO",DN81+DO76,DN81))</f>
        <v>57.6</v>
      </c>
      <c r="DP81" s="25">
        <f t="shared" ref="DP81" si="1245">IF(DP80&gt;0,IF(DP85="NO",IF(DP88="NO",DO81-DP80,DO81+DP76),DO81+DP76),IF(DP88="NO",DO81+DP76,DO81))</f>
        <v>86.4</v>
      </c>
      <c r="DQ81" s="25">
        <f t="shared" ref="DQ81" si="1246">IF(DQ80&gt;0,IF(DQ85="NO",IF(DQ88="NO",DP81-DQ80,DP81+DQ76),DP81+DQ76),IF(DQ88="NO",DP81+DQ76,DP81))</f>
        <v>115.2</v>
      </c>
      <c r="DR81" s="25">
        <f t="shared" ref="DR81" si="1247">IF(DR80&gt;0,IF(DR85="NO",IF(DR88="NO",DQ81-DR80,DQ81+DR76),DQ81+DR76),IF(DR88="NO",DQ81+DR76,DQ81))</f>
        <v>111.6</v>
      </c>
      <c r="DS81" s="25">
        <f t="shared" ref="DS81" si="1248">IF(DS80&gt;0,IF(DS85="NO",IF(DS88="NO",DR81-DS80,DR81+DS76),DR81+DS76),IF(DS88="NO",DR81+DS76,DR81))</f>
        <v>107.99999999999999</v>
      </c>
      <c r="DT81" s="25">
        <f t="shared" ref="DT81" si="1249">IF(DT80&gt;0,IF(DT85="NO",IF(DT88="NO",DS81-DT80,DS81+DT76),DS81+DT76),IF(DT88="NO",DS81+DT76,DS81))</f>
        <v>104.39999999999998</v>
      </c>
      <c r="DU81" s="25">
        <f t="shared" ref="DU81" si="1250">IF(DU80&gt;0,IF(DU85="NO",IF(DU88="NO",DT81-DU80,DT81+DU76),DT81+DU76),IF(DU88="NO",DT81+DU76,DT81))</f>
        <v>100.79999999999997</v>
      </c>
      <c r="DV81" s="25">
        <f>IF(DV80&gt;0,IF(DV85="NO",IF(DV88="NO",DU81-DV80,DU81+DV76),DU81+DV76),IF(DV88="NO",DU81+DV76,DU81))</f>
        <v>97.19999999999996</v>
      </c>
      <c r="DW81" s="25">
        <f t="shared" ref="DW81" si="1251">IF(DW80&gt;0,IF(DW85="NO",IF(DW88="NO",DV81-(DW79-DW76),DV81+DW76),DV81+DW76),IF(DW88="NO",DV81+DW76,DV81))</f>
        <v>93.599999999999952</v>
      </c>
      <c r="DX81" s="25">
        <f t="shared" ref="DX81" si="1252">IF(DX80&gt;0,IF(DX85="NO",IF(DX88="NO",DW81-(DX79-DX76),DW81+DX76),DW81+DX76),IF(DX88="NO",DW81+DX76,DW81))</f>
        <v>89.999999999999943</v>
      </c>
      <c r="DY81" s="25">
        <f t="shared" ref="DY81" si="1253">IF(DY80&gt;0,IF(DY85="NO",IF(DY88="NO",DX81-(DY79-DY76),DX81+DY76),DX81+DY76),IF(DY88="NO",DX81+DY76,DX81))</f>
        <v>86.399999999999935</v>
      </c>
      <c r="DZ81" s="25">
        <f t="shared" ref="DZ81" si="1254">IF(DZ80&gt;0,IF(DZ85="NO",IF(DZ88="NO",DY81-(DZ79-DZ76),DY81+DZ76),DY81+DZ76),IF(DZ88="NO",DY81+DZ76,DY81))</f>
        <v>82.799999999999926</v>
      </c>
      <c r="EA81" s="25">
        <f t="shared" ref="EA81" si="1255">IF(EA80&gt;0,IF(EA85="NO",IF(EA88="NO",DZ81-(EA79-EA76),DZ81+EA76),DZ81+EA76),IF(EA88="NO",DZ81+EA76,DZ81))</f>
        <v>79.199999999999918</v>
      </c>
      <c r="EB81" s="25">
        <f t="shared" ref="EB81" si="1256">IF(EB80&gt;0,IF(EB85="NO",IF(EB88="NO",EA81-(EB79-EB76),EA81+EB76),EA81+EB76),IF(EB88="NO",EA81+EB76,EA81))</f>
        <v>75.599999999999909</v>
      </c>
      <c r="EC81" s="25">
        <f t="shared" ref="EC81" si="1257">IF(EC80&gt;0,IF(EC85="NO",IF(EC88="NO",EB81-(EC79-EC76),EB81+EC76),EB81+EC76),IF(EC88="NO",EB81+EC76,EB81))</f>
        <v>71.999999999999901</v>
      </c>
      <c r="ED81" s="25">
        <f t="shared" ref="ED81" si="1258">IF(ED80&gt;0,IF(ED85="NO",IF(ED88="NO",EC81-(ED79-ED76),EC81+ED76),EC81+ED76),IF(ED88="NO",EC81+ED76,EC81))</f>
        <v>68.399999999999892</v>
      </c>
      <c r="EE81" s="25">
        <f t="shared" ref="EE81" si="1259">IF(EE80&gt;0,IF(EE85="NO",IF(EE88="NO",ED81-(EE79-EE76),ED81+EE76),ED81+EE76),IF(EE88="NO",ED81+EE76,ED81))</f>
        <v>64.799999999999883</v>
      </c>
      <c r="EF81" s="25">
        <f t="shared" ref="EF81" si="1260">IF(EF80&gt;0,IF(EF85="NO",IF(EF88="NO",EE81-(EF79-EF76),EE81+EF76),EE81+EF76),IF(EF88="NO",EE81+EF76,EE81))</f>
        <v>61.199999999999875</v>
      </c>
      <c r="EG81" s="25">
        <f t="shared" ref="EG81" si="1261">IF(EG80&gt;0,IF(EG85="NO",IF(EG88="NO",EF81-(EG79-EG76),EF81+EG76),EF81+EG76),IF(EG88="NO",EF81+EG76,EF81))</f>
        <v>57.599999999999866</v>
      </c>
      <c r="EH81" s="25">
        <f t="shared" ref="EH81" si="1262">IF(EH80&gt;0,IF(EH85="NO",IF(EH88="NO",EG81-(EH79-EH76),EG81+EH76),EG81+EH76),IF(EH88="NO",EG81+EH76,EG81))</f>
        <v>53.999999999999858</v>
      </c>
      <c r="EI81" s="25">
        <f t="shared" ref="EI81" si="1263">IF(EI80&gt;0,IF(EI85="NO",IF(EI88="NO",EH81-(EI79-EI76),EH81+EI76),EH81+EI76),IF(EI88="NO",EH81+EI76,EH81))</f>
        <v>50.399999999999849</v>
      </c>
      <c r="EJ81" s="25">
        <f t="shared" ref="EJ81" si="1264">IF(EJ80&gt;0,IF(EJ85="NO",IF(EJ88="NO",EI81-(EJ79-EJ76),EI81+EJ76),EI81+EJ76),IF(EJ88="NO",EI81+EJ76,EI81))</f>
        <v>46.799999999999841</v>
      </c>
      <c r="EK81" s="25">
        <f t="shared" ref="EK81" si="1265">IF(EK80&gt;0,IF(EK85="NO",IF(EK88="NO",EJ81-(EK79-EK76),EJ81+EK76),EJ81+EK76),IF(EK88="NO",EJ81+EK76,EJ81))</f>
        <v>43.199999999999832</v>
      </c>
      <c r="EL81" s="1" t="s">
        <v>72</v>
      </c>
      <c r="EM81" s="1" t="s">
        <v>14</v>
      </c>
      <c r="EN81" s="25">
        <f>EN76-EN79</f>
        <v>28.8</v>
      </c>
      <c r="EO81" s="25">
        <f t="shared" ref="EO81" si="1266">IF(EO80&gt;0,IF(EO85="NO",IF(EO88="NO",EN81-EO80,EN81+EO76),EN81+EO76),IF(EO88="NO",EN81+EO76,EN81))</f>
        <v>57.6</v>
      </c>
      <c r="EP81" s="25">
        <f t="shared" ref="EP81" si="1267">IF(EP80&gt;0,IF(EP85="NO",IF(EP88="NO",EO81-EP80,EO81+EP76),EO81+EP76),IF(EP88="NO",EO81+EP76,EO81))</f>
        <v>54</v>
      </c>
      <c r="EQ81" s="25">
        <f t="shared" ref="EQ81" si="1268">IF(EQ80&gt;0,IF(EQ85="NO",IF(EQ88="NO",EP81-EQ80,EP81+EQ76),EP81+EQ76),IF(EQ88="NO",EP81+EQ76,EP81))</f>
        <v>50.399999999999991</v>
      </c>
      <c r="ER81" s="25">
        <f t="shared" ref="ER81" si="1269">IF(ER80&gt;0,IF(ER85="NO",IF(ER88="NO",EQ81-ER80,EQ81+ER76),EQ81+ER76),IF(ER88="NO",EQ81+ER76,EQ81))</f>
        <v>46.799999999999983</v>
      </c>
      <c r="ES81" s="25">
        <f t="shared" ref="ES81" si="1270">IF(ES80&gt;0,IF(ES85="NO",IF(ES88="NO",ER81-ES80,ER81+ES76),ER81+ES76),IF(ES88="NO",ER81+ES76,ER81))</f>
        <v>43.199999999999974</v>
      </c>
      <c r="ET81" s="25">
        <f t="shared" ref="ET81" si="1271">IF(ET80&gt;0,IF(ET85="NO",IF(ET88="NO",ES81-ET80,ES81+ET76),ES81+ET76),IF(ET88="NO",ES81+ET76,ES81))</f>
        <v>39.599999999999966</v>
      </c>
      <c r="EU81" s="25">
        <f t="shared" ref="EU81" si="1272">IF(EU80&gt;0,IF(EU85="NO",IF(EU88="NO",ET81-EU80,ET81+EU76),ET81+EU76),IF(EU88="NO",ET81+EU76,ET81))</f>
        <v>35.999999999999957</v>
      </c>
      <c r="EV81" s="25">
        <f>IF(EV80&gt;0,IF(EV85="NO",IF(EV88="NO",EU81-EV80,EU81+EV76),EU81+EV76),IF(EV88="NO",EU81+EV76,EU81))</f>
        <v>32.399999999999949</v>
      </c>
      <c r="EW81" s="25">
        <f t="shared" ref="EW81" si="1273">IF(EW80&gt;0,IF(EW85="NO",IF(EW88="NO",EV81-(EW79-EW76),EV81+EW76),EV81+EW76),IF(EW88="NO",EV81+EW76,EV81))</f>
        <v>28.799999999999944</v>
      </c>
      <c r="EX81" s="25">
        <f t="shared" ref="EX81" si="1274">IF(EX80&gt;0,IF(EX85="NO",IF(EX88="NO",EW81-(EX79-EX76),EW81+EX76),EW81+EX76),IF(EX88="NO",EW81+EX76,EW81))</f>
        <v>57.599999999999945</v>
      </c>
      <c r="EY81" s="25">
        <f t="shared" ref="EY81" si="1275">IF(EY80&gt;0,IF(EY85="NO",IF(EY88="NO",EX81-(EY79-EY76),EX81+EY76),EX81+EY76),IF(EY88="NO",EX81+EY76,EX81))</f>
        <v>53.999999999999943</v>
      </c>
      <c r="EZ81" s="25">
        <f t="shared" ref="EZ81" si="1276">IF(EZ80&gt;0,IF(EZ85="NO",IF(EZ88="NO",EY81-(EZ79-EZ76),EY81+EZ76),EY81+EZ76),IF(EZ88="NO",EY81+EZ76,EY81))</f>
        <v>50.399999999999935</v>
      </c>
      <c r="FA81" s="25">
        <f t="shared" ref="FA81" si="1277">IF(FA80&gt;0,IF(FA85="NO",IF(FA88="NO",EZ81-(FA79-FA76),EZ81+FA76),EZ81+FA76),IF(FA88="NO",EZ81+FA76,EZ81))</f>
        <v>46.799999999999926</v>
      </c>
      <c r="FB81" s="25">
        <f t="shared" ref="FB81" si="1278">IF(FB80&gt;0,IF(FB85="NO",IF(FB88="NO",FA81-(FB79-FB76),FA81+FB76),FA81+FB76),IF(FB88="NO",FA81+FB76,FA81))</f>
        <v>43.199999999999918</v>
      </c>
      <c r="FC81" s="25">
        <f t="shared" ref="FC81" si="1279">IF(FC80&gt;0,IF(FC85="NO",IF(FC88="NO",FB81-(FC79-FC76),FB81+FC76),FB81+FC76),IF(FC88="NO",FB81+FC76,FB81))</f>
        <v>39.599999999999909</v>
      </c>
      <c r="FD81" s="25">
        <f t="shared" ref="FD81" si="1280">IF(FD80&gt;0,IF(FD85="NO",IF(FD88="NO",FC81-(FD79-FD76),FC81+FD76),FC81+FD76),IF(FD88="NO",FC81+FD76,FC81))</f>
        <v>35.999999999999901</v>
      </c>
      <c r="FE81" s="25">
        <f t="shared" ref="FE81" si="1281">IF(FE80&gt;0,IF(FE85="NO",IF(FE88="NO",FD81-(FE79-FE76),FD81+FE76),FD81+FE76),IF(FE88="NO",FD81+FE76,FD81))</f>
        <v>32.399999999999892</v>
      </c>
      <c r="FF81" s="25">
        <f t="shared" ref="FF81" si="1282">IF(FF80&gt;0,IF(FF85="NO",IF(FF88="NO",FE81-(FF79-FF76),FE81+FF76),FE81+FF76),IF(FF88="NO",FE81+FF76,FE81))</f>
        <v>28.799999999999887</v>
      </c>
      <c r="FG81" s="25">
        <f t="shared" ref="FG81" si="1283">IF(FG80&gt;0,IF(FG85="NO",IF(FG88="NO",FF81-(FG79-FG76),FF81+FG76),FF81+FG76),IF(FG88="NO",FF81+FG76,FF81))</f>
        <v>57.599999999999888</v>
      </c>
      <c r="FH81" s="25">
        <f t="shared" ref="FH81" si="1284">IF(FH80&gt;0,IF(FH85="NO",IF(FH88="NO",FG81-(FH79-FH76),FG81+FH76),FG81+FH76),IF(FH88="NO",FG81+FH76,FG81))</f>
        <v>53.999999999999886</v>
      </c>
      <c r="FI81" s="25">
        <f t="shared" ref="FI81" si="1285">IF(FI80&gt;0,IF(FI85="NO",IF(FI88="NO",FH81-(FI79-FI76),FH81+FI76),FH81+FI76),IF(FI88="NO",FH81+FI76,FH81))</f>
        <v>50.399999999999878</v>
      </c>
      <c r="FJ81" s="25">
        <f t="shared" ref="FJ81" si="1286">IF(FJ80&gt;0,IF(FJ85="NO",IF(FJ88="NO",FI81-(FJ79-FJ76),FI81+FJ76),FI81+FJ76),IF(FJ88="NO",FI81+FJ76,FI81))</f>
        <v>46.799999999999869</v>
      </c>
      <c r="FK81" s="25">
        <f t="shared" ref="FK81" si="1287">IF(FK80&gt;0,IF(FK85="NO",IF(FK88="NO",FJ81-(FK79-FK76),FJ81+FK76),FJ81+FK76),IF(FK88="NO",FJ81+FK76,FJ81))</f>
        <v>43.199999999999861</v>
      </c>
    </row>
    <row r="82" spans="2:167" x14ac:dyDescent="0.25">
      <c r="B82" s="37" t="s">
        <v>35</v>
      </c>
      <c r="D82" s="1" t="s">
        <v>6</v>
      </c>
      <c r="E82" s="15">
        <f>E81-E80</f>
        <v>0.60000000000000009</v>
      </c>
      <c r="G82" s="1" t="s">
        <v>34</v>
      </c>
      <c r="I82" s="1" t="s">
        <v>20</v>
      </c>
      <c r="J82" s="13">
        <f>J80/J79*1000</f>
        <v>67.5</v>
      </c>
      <c r="L82" s="19" t="s">
        <v>71</v>
      </c>
      <c r="M82" s="19" t="s">
        <v>6</v>
      </c>
      <c r="N82" s="47">
        <f t="shared" ref="N82:AK82" si="1288">N81/$E58</f>
        <v>0.10140845070422536</v>
      </c>
      <c r="O82" s="47">
        <f t="shared" si="1288"/>
        <v>0.20281690140845071</v>
      </c>
      <c r="P82" s="47">
        <f t="shared" si="1288"/>
        <v>0.3042253521126761</v>
      </c>
      <c r="Q82" s="47">
        <f t="shared" si="1288"/>
        <v>0.40563380281690142</v>
      </c>
      <c r="R82" s="47">
        <f t="shared" si="1288"/>
        <v>0.50704225352112675</v>
      </c>
      <c r="S82" s="47">
        <f t="shared" si="1288"/>
        <v>0.4943661971830986</v>
      </c>
      <c r="T82" s="47">
        <f t="shared" si="1288"/>
        <v>0.48169014084507045</v>
      </c>
      <c r="U82" s="47">
        <f t="shared" si="1288"/>
        <v>0.46901408450704229</v>
      </c>
      <c r="V82" s="47">
        <f t="shared" si="1288"/>
        <v>0.45633802816901414</v>
      </c>
      <c r="W82" s="47">
        <f t="shared" si="1288"/>
        <v>0.44366197183098599</v>
      </c>
      <c r="X82" s="47">
        <f t="shared" si="1288"/>
        <v>0.43098591549295778</v>
      </c>
      <c r="Y82" s="47">
        <f t="shared" si="1288"/>
        <v>0.41830985915492958</v>
      </c>
      <c r="Z82" s="47">
        <f t="shared" si="1288"/>
        <v>0.40563380281690137</v>
      </c>
      <c r="AA82" s="47">
        <f t="shared" si="1288"/>
        <v>0.39295774647887316</v>
      </c>
      <c r="AB82" s="47">
        <f t="shared" si="1288"/>
        <v>0.38028169014084495</v>
      </c>
      <c r="AC82" s="47">
        <f t="shared" si="1288"/>
        <v>0.36760563380281674</v>
      </c>
      <c r="AD82" s="47">
        <f t="shared" si="1288"/>
        <v>0.35492957746478859</v>
      </c>
      <c r="AE82" s="47">
        <f t="shared" si="1288"/>
        <v>0.34225352112676038</v>
      </c>
      <c r="AF82" s="47">
        <f t="shared" si="1288"/>
        <v>0.32957746478873218</v>
      </c>
      <c r="AG82" s="47">
        <f t="shared" si="1288"/>
        <v>0.31690140845070397</v>
      </c>
      <c r="AH82" s="47">
        <f t="shared" si="1288"/>
        <v>0.30422535211267576</v>
      </c>
      <c r="AI82" s="47">
        <f t="shared" si="1288"/>
        <v>0.29154929577464755</v>
      </c>
      <c r="AJ82" s="47">
        <f t="shared" si="1288"/>
        <v>0.39295774647887294</v>
      </c>
      <c r="AK82" s="47">
        <f t="shared" si="1288"/>
        <v>0.49436619718309832</v>
      </c>
      <c r="AL82" s="19" t="s">
        <v>71</v>
      </c>
      <c r="AM82" s="19" t="s">
        <v>6</v>
      </c>
      <c r="AN82" s="47">
        <f t="shared" ref="AN82:BK82" si="1289">AN81/$E58</f>
        <v>0.10140845070422536</v>
      </c>
      <c r="AO82" s="47">
        <f t="shared" si="1289"/>
        <v>0.20281690140845071</v>
      </c>
      <c r="AP82" s="47">
        <f t="shared" si="1289"/>
        <v>0.3042253521126761</v>
      </c>
      <c r="AQ82" s="47">
        <f t="shared" si="1289"/>
        <v>0.40563380281690142</v>
      </c>
      <c r="AR82" s="47">
        <f t="shared" si="1289"/>
        <v>0.50704225352112675</v>
      </c>
      <c r="AS82" s="47">
        <f t="shared" si="1289"/>
        <v>0.4943661971830986</v>
      </c>
      <c r="AT82" s="47">
        <f t="shared" si="1289"/>
        <v>0.48169014084507045</v>
      </c>
      <c r="AU82" s="47">
        <f t="shared" si="1289"/>
        <v>0.46901408450704229</v>
      </c>
      <c r="AV82" s="47">
        <f t="shared" si="1289"/>
        <v>0.45633802816901414</v>
      </c>
      <c r="AW82" s="47">
        <f t="shared" si="1289"/>
        <v>0.44366197183098599</v>
      </c>
      <c r="AX82" s="47">
        <f t="shared" si="1289"/>
        <v>0.43098591549295778</v>
      </c>
      <c r="AY82" s="47">
        <f t="shared" si="1289"/>
        <v>0.41830985915492958</v>
      </c>
      <c r="AZ82" s="47">
        <f t="shared" si="1289"/>
        <v>0.40563380281690137</v>
      </c>
      <c r="BA82" s="47">
        <f t="shared" si="1289"/>
        <v>0.39295774647887316</v>
      </c>
      <c r="BB82" s="47">
        <f t="shared" si="1289"/>
        <v>0.38028169014084495</v>
      </c>
      <c r="BC82" s="47">
        <f t="shared" si="1289"/>
        <v>0.36760563380281674</v>
      </c>
      <c r="BD82" s="47">
        <f t="shared" si="1289"/>
        <v>0.35492957746478859</v>
      </c>
      <c r="BE82" s="47">
        <f t="shared" si="1289"/>
        <v>0.34225352112676038</v>
      </c>
      <c r="BF82" s="47">
        <f t="shared" si="1289"/>
        <v>0.32957746478873218</v>
      </c>
      <c r="BG82" s="47">
        <f t="shared" si="1289"/>
        <v>0.31690140845070397</v>
      </c>
      <c r="BH82" s="47">
        <f t="shared" si="1289"/>
        <v>0.30422535211267576</v>
      </c>
      <c r="BI82" s="47">
        <f t="shared" si="1289"/>
        <v>0.29154929577464755</v>
      </c>
      <c r="BJ82" s="47">
        <f t="shared" si="1289"/>
        <v>0.2788732394366194</v>
      </c>
      <c r="BK82" s="47">
        <f t="shared" si="1289"/>
        <v>0.26619718309859119</v>
      </c>
      <c r="BL82" s="19" t="s">
        <v>71</v>
      </c>
      <c r="BM82" s="19" t="s">
        <v>6</v>
      </c>
      <c r="BN82" s="47">
        <f t="shared" ref="BN82:CK82" si="1290">BN81/$E58</f>
        <v>0.10140845070422536</v>
      </c>
      <c r="BO82" s="47">
        <f t="shared" si="1290"/>
        <v>0.20281690140845071</v>
      </c>
      <c r="BP82" s="47">
        <f t="shared" si="1290"/>
        <v>0.3042253521126761</v>
      </c>
      <c r="BQ82" s="47">
        <f t="shared" si="1290"/>
        <v>0.40563380281690142</v>
      </c>
      <c r="BR82" s="47">
        <f t="shared" si="1290"/>
        <v>0.50704225352112675</v>
      </c>
      <c r="BS82" s="47">
        <f t="shared" si="1290"/>
        <v>0.4943661971830986</v>
      </c>
      <c r="BT82" s="47">
        <f t="shared" si="1290"/>
        <v>0.48169014084507045</v>
      </c>
      <c r="BU82" s="47">
        <f t="shared" si="1290"/>
        <v>0.46901408450704229</v>
      </c>
      <c r="BV82" s="47">
        <f t="shared" si="1290"/>
        <v>0.45633802816901414</v>
      </c>
      <c r="BW82" s="47">
        <f t="shared" si="1290"/>
        <v>0.44366197183098599</v>
      </c>
      <c r="BX82" s="47">
        <f t="shared" si="1290"/>
        <v>0.43098591549295778</v>
      </c>
      <c r="BY82" s="47">
        <f t="shared" si="1290"/>
        <v>0.41830985915492958</v>
      </c>
      <c r="BZ82" s="47">
        <f t="shared" si="1290"/>
        <v>0.40563380281690137</v>
      </c>
      <c r="CA82" s="47">
        <f t="shared" si="1290"/>
        <v>0.39295774647887316</v>
      </c>
      <c r="CB82" s="47">
        <f t="shared" si="1290"/>
        <v>0.38028169014084495</v>
      </c>
      <c r="CC82" s="47">
        <f t="shared" si="1290"/>
        <v>0.36760563380281674</v>
      </c>
      <c r="CD82" s="47">
        <f t="shared" si="1290"/>
        <v>0.35492957746478859</v>
      </c>
      <c r="CE82" s="47">
        <f t="shared" si="1290"/>
        <v>0.34225352112676038</v>
      </c>
      <c r="CF82" s="47">
        <f t="shared" si="1290"/>
        <v>0.32957746478873218</v>
      </c>
      <c r="CG82" s="47">
        <f t="shared" si="1290"/>
        <v>0.31690140845070397</v>
      </c>
      <c r="CH82" s="47">
        <f t="shared" si="1290"/>
        <v>0.30422535211267576</v>
      </c>
      <c r="CI82" s="47">
        <f t="shared" si="1290"/>
        <v>0.29154929577464755</v>
      </c>
      <c r="CJ82" s="47">
        <f t="shared" si="1290"/>
        <v>0.2788732394366194</v>
      </c>
      <c r="CK82" s="47">
        <f t="shared" si="1290"/>
        <v>0.38028169014084473</v>
      </c>
      <c r="CL82" s="19" t="s">
        <v>71</v>
      </c>
      <c r="CM82" s="19" t="s">
        <v>6</v>
      </c>
      <c r="CN82" s="47">
        <f t="shared" ref="CN82:DK82" si="1291">CN81/$E58</f>
        <v>0.10140845070422536</v>
      </c>
      <c r="CO82" s="47">
        <f t="shared" si="1291"/>
        <v>0.20281690140845071</v>
      </c>
      <c r="CP82" s="47">
        <f t="shared" si="1291"/>
        <v>0.3042253521126761</v>
      </c>
      <c r="CQ82" s="47">
        <f t="shared" si="1291"/>
        <v>0.40563380281690142</v>
      </c>
      <c r="CR82" s="47">
        <f t="shared" si="1291"/>
        <v>0.39295774647887322</v>
      </c>
      <c r="CS82" s="47">
        <f t="shared" si="1291"/>
        <v>0.38028169014084501</v>
      </c>
      <c r="CT82" s="47">
        <f t="shared" si="1291"/>
        <v>0.3676056338028168</v>
      </c>
      <c r="CU82" s="47">
        <f t="shared" si="1291"/>
        <v>0.35492957746478865</v>
      </c>
      <c r="CV82" s="47">
        <f t="shared" si="1291"/>
        <v>0.34225352112676044</v>
      </c>
      <c r="CW82" s="47">
        <f t="shared" si="1291"/>
        <v>0.32957746478873223</v>
      </c>
      <c r="CX82" s="47">
        <f t="shared" si="1291"/>
        <v>0.31690140845070403</v>
      </c>
      <c r="CY82" s="47">
        <f t="shared" si="1291"/>
        <v>0.30422535211267582</v>
      </c>
      <c r="CZ82" s="47">
        <f t="shared" si="1291"/>
        <v>0.29154929577464761</v>
      </c>
      <c r="DA82" s="47">
        <f t="shared" si="1291"/>
        <v>0.2788732394366194</v>
      </c>
      <c r="DB82" s="47">
        <f t="shared" si="1291"/>
        <v>0.26619718309859125</v>
      </c>
      <c r="DC82" s="47">
        <f t="shared" si="1291"/>
        <v>0.25352112676056304</v>
      </c>
      <c r="DD82" s="47">
        <f t="shared" si="1291"/>
        <v>0.24084507042253483</v>
      </c>
      <c r="DE82" s="47">
        <f t="shared" si="1291"/>
        <v>0.22816901408450663</v>
      </c>
      <c r="DF82" s="47">
        <f t="shared" si="1291"/>
        <v>0.21549295774647842</v>
      </c>
      <c r="DG82" s="47">
        <f t="shared" si="1291"/>
        <v>0.20281690140845024</v>
      </c>
      <c r="DH82" s="47">
        <f t="shared" si="1291"/>
        <v>0.19014084507042203</v>
      </c>
      <c r="DI82" s="47">
        <f t="shared" si="1291"/>
        <v>0.17746478873239382</v>
      </c>
      <c r="DJ82" s="47">
        <f t="shared" si="1291"/>
        <v>0.16478873239436564</v>
      </c>
      <c r="DK82" s="47">
        <f t="shared" si="1291"/>
        <v>0.15211267605633744</v>
      </c>
      <c r="DL82" s="19" t="s">
        <v>71</v>
      </c>
      <c r="DM82" s="19" t="s">
        <v>6</v>
      </c>
      <c r="DN82" s="47">
        <f t="shared" ref="DN82:EK82" si="1292">DN81/$E58</f>
        <v>0.10140845070422536</v>
      </c>
      <c r="DO82" s="47">
        <f t="shared" si="1292"/>
        <v>0.20281690140845071</v>
      </c>
      <c r="DP82" s="47">
        <f t="shared" si="1292"/>
        <v>0.3042253521126761</v>
      </c>
      <c r="DQ82" s="47">
        <f t="shared" si="1292"/>
        <v>0.40563380281690142</v>
      </c>
      <c r="DR82" s="47">
        <f t="shared" si="1292"/>
        <v>0.39295774647887322</v>
      </c>
      <c r="DS82" s="47">
        <f t="shared" si="1292"/>
        <v>0.38028169014084501</v>
      </c>
      <c r="DT82" s="47">
        <f t="shared" si="1292"/>
        <v>0.3676056338028168</v>
      </c>
      <c r="DU82" s="47">
        <f t="shared" si="1292"/>
        <v>0.35492957746478865</v>
      </c>
      <c r="DV82" s="47">
        <f t="shared" si="1292"/>
        <v>0.34225352112676044</v>
      </c>
      <c r="DW82" s="47">
        <f t="shared" si="1292"/>
        <v>0.32957746478873223</v>
      </c>
      <c r="DX82" s="47">
        <f t="shared" si="1292"/>
        <v>0.31690140845070403</v>
      </c>
      <c r="DY82" s="47">
        <f t="shared" si="1292"/>
        <v>0.30422535211267582</v>
      </c>
      <c r="DZ82" s="47">
        <f t="shared" si="1292"/>
        <v>0.29154929577464761</v>
      </c>
      <c r="EA82" s="47">
        <f t="shared" si="1292"/>
        <v>0.2788732394366194</v>
      </c>
      <c r="EB82" s="47">
        <f t="shared" si="1292"/>
        <v>0.26619718309859125</v>
      </c>
      <c r="EC82" s="47">
        <f t="shared" si="1292"/>
        <v>0.25352112676056304</v>
      </c>
      <c r="ED82" s="47">
        <f t="shared" si="1292"/>
        <v>0.24084507042253483</v>
      </c>
      <c r="EE82" s="47">
        <f t="shared" si="1292"/>
        <v>0.22816901408450663</v>
      </c>
      <c r="EF82" s="47">
        <f t="shared" si="1292"/>
        <v>0.21549295774647842</v>
      </c>
      <c r="EG82" s="47">
        <f t="shared" si="1292"/>
        <v>0.20281690140845024</v>
      </c>
      <c r="EH82" s="47">
        <f t="shared" si="1292"/>
        <v>0.19014084507042203</v>
      </c>
      <c r="EI82" s="47">
        <f t="shared" si="1292"/>
        <v>0.17746478873239382</v>
      </c>
      <c r="EJ82" s="47">
        <f t="shared" si="1292"/>
        <v>0.16478873239436564</v>
      </c>
      <c r="EK82" s="47">
        <f t="shared" si="1292"/>
        <v>0.15211267605633744</v>
      </c>
      <c r="EL82" s="19" t="s">
        <v>71</v>
      </c>
      <c r="EM82" s="19" t="s">
        <v>6</v>
      </c>
      <c r="EN82" s="47">
        <f t="shared" ref="EN82:FK82" si="1293">EN81/$E58</f>
        <v>0.10140845070422536</v>
      </c>
      <c r="EO82" s="47">
        <f t="shared" si="1293"/>
        <v>0.20281690140845071</v>
      </c>
      <c r="EP82" s="47">
        <f t="shared" si="1293"/>
        <v>0.19014084507042253</v>
      </c>
      <c r="EQ82" s="47">
        <f t="shared" si="1293"/>
        <v>0.17746478873239432</v>
      </c>
      <c r="ER82" s="47">
        <f t="shared" si="1293"/>
        <v>0.16478873239436614</v>
      </c>
      <c r="ES82" s="47">
        <f t="shared" si="1293"/>
        <v>0.15211267605633794</v>
      </c>
      <c r="ET82" s="47">
        <f t="shared" si="1293"/>
        <v>0.13943661971830973</v>
      </c>
      <c r="EU82" s="47">
        <f t="shared" si="1293"/>
        <v>0.12676056338028155</v>
      </c>
      <c r="EV82" s="47">
        <f t="shared" si="1293"/>
        <v>0.11408450704225334</v>
      </c>
      <c r="EW82" s="47">
        <f t="shared" si="1293"/>
        <v>0.10140845070422515</v>
      </c>
      <c r="EX82" s="47">
        <f t="shared" si="1293"/>
        <v>0.20281690140845052</v>
      </c>
      <c r="EY82" s="47">
        <f t="shared" si="1293"/>
        <v>0.19014084507042234</v>
      </c>
      <c r="EZ82" s="47">
        <f t="shared" si="1293"/>
        <v>0.17746478873239413</v>
      </c>
      <c r="FA82" s="47">
        <f t="shared" si="1293"/>
        <v>0.16478873239436595</v>
      </c>
      <c r="FB82" s="47">
        <f t="shared" si="1293"/>
        <v>0.15211267605633774</v>
      </c>
      <c r="FC82" s="47">
        <f t="shared" si="1293"/>
        <v>0.13943661971830953</v>
      </c>
      <c r="FD82" s="47">
        <f t="shared" si="1293"/>
        <v>0.12676056338028133</v>
      </c>
      <c r="FE82" s="47">
        <f t="shared" si="1293"/>
        <v>0.11408450704225315</v>
      </c>
      <c r="FF82" s="47">
        <f t="shared" si="1293"/>
        <v>0.10140845070422495</v>
      </c>
      <c r="FG82" s="47">
        <f t="shared" si="1293"/>
        <v>0.2028169014084503</v>
      </c>
      <c r="FH82" s="47">
        <f t="shared" si="1293"/>
        <v>0.19014084507042214</v>
      </c>
      <c r="FI82" s="47">
        <f t="shared" si="1293"/>
        <v>0.17746478873239394</v>
      </c>
      <c r="FJ82" s="47">
        <f t="shared" si="1293"/>
        <v>0.16478873239436573</v>
      </c>
      <c r="FK82" s="47">
        <f t="shared" si="1293"/>
        <v>0.15211267605633755</v>
      </c>
    </row>
    <row r="83" spans="2:167" x14ac:dyDescent="0.25">
      <c r="B83" s="37"/>
      <c r="E83" s="87"/>
      <c r="J83" s="38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1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1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1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1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1"/>
      <c r="EN83" s="25"/>
      <c r="EO83" s="25"/>
      <c r="EP83" s="25"/>
      <c r="EQ83" s="25"/>
      <c r="ER83" s="25"/>
      <c r="ES83" s="25"/>
      <c r="ET83" s="25"/>
      <c r="EU83" s="25"/>
      <c r="EV83" s="25"/>
      <c r="EW83" s="25"/>
      <c r="EX83" s="25"/>
      <c r="EY83" s="25"/>
      <c r="EZ83" s="25"/>
      <c r="FA83" s="25"/>
      <c r="FB83" s="25"/>
      <c r="FC83" s="25"/>
      <c r="FD83" s="25"/>
      <c r="FE83" s="25"/>
      <c r="FF83" s="25"/>
      <c r="FG83" s="25"/>
      <c r="FH83" s="25"/>
      <c r="FI83" s="25"/>
      <c r="FJ83" s="25"/>
      <c r="FK83" s="25"/>
    </row>
    <row r="84" spans="2:167" x14ac:dyDescent="0.25">
      <c r="B84" s="37" t="s">
        <v>141</v>
      </c>
      <c r="D84" s="1" t="s">
        <v>44</v>
      </c>
      <c r="E84" s="13">
        <f>COUNTIF(O89:AK89,"YES")</f>
        <v>0</v>
      </c>
      <c r="J84" s="38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1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1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1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1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1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</row>
    <row r="85" spans="2:167" x14ac:dyDescent="0.25">
      <c r="B85" s="37" t="s">
        <v>142</v>
      </c>
      <c r="D85" s="1" t="s">
        <v>27</v>
      </c>
      <c r="E85" s="13">
        <f>COUNTIF(N86:AK86,"Discharge")</f>
        <v>17</v>
      </c>
      <c r="J85" s="38"/>
      <c r="L85" s="1" t="s">
        <v>186</v>
      </c>
      <c r="N85" s="90"/>
      <c r="O85" s="90" t="str">
        <f t="shared" ref="O85" si="1294">IF(O80&gt;N81,"YES", "NO")</f>
        <v>NO</v>
      </c>
      <c r="P85" s="90" t="str">
        <f t="shared" ref="P85" si="1295">IF(P80&gt;O81,"YES", "NO")</f>
        <v>NO</v>
      </c>
      <c r="Q85" s="90" t="str">
        <f t="shared" ref="Q85" si="1296">IF(Q80&gt;P81,"YES", "NO")</f>
        <v>NO</v>
      </c>
      <c r="R85" s="90" t="str">
        <f t="shared" ref="R85" si="1297">IF(R80&gt;Q81,"YES", "NO")</f>
        <v>NO</v>
      </c>
      <c r="S85" s="90" t="str">
        <f t="shared" ref="S85" si="1298">IF(S80&gt;R81,"YES", "NO")</f>
        <v>NO</v>
      </c>
      <c r="T85" s="90" t="str">
        <f t="shared" ref="T85" si="1299">IF(T80&gt;S81,"YES", "NO")</f>
        <v>NO</v>
      </c>
      <c r="U85" s="90" t="str">
        <f t="shared" ref="U85" si="1300">IF(U80&gt;T81,"YES", "NO")</f>
        <v>NO</v>
      </c>
      <c r="V85" s="90" t="str">
        <f>IF(V80&gt;U81,"YES", "NO")</f>
        <v>NO</v>
      </c>
      <c r="W85" s="90" t="str">
        <f t="shared" ref="W85" si="1301">IF(W80&gt;V81,"YES", "NO")</f>
        <v>NO</v>
      </c>
      <c r="X85" s="90" t="str">
        <f t="shared" ref="X85" si="1302">IF(X80&gt;W81,"YES", "NO")</f>
        <v>NO</v>
      </c>
      <c r="Y85" s="90" t="str">
        <f t="shared" ref="Y85" si="1303">IF(Y80&gt;X81,"YES", "NO")</f>
        <v>NO</v>
      </c>
      <c r="Z85" s="90" t="str">
        <f t="shared" ref="Z85" si="1304">IF(Z80&gt;Y81,"YES", "NO")</f>
        <v>NO</v>
      </c>
      <c r="AA85" s="90" t="str">
        <f t="shared" ref="AA85" si="1305">IF(AA80&gt;Z81,"YES", "NO")</f>
        <v>NO</v>
      </c>
      <c r="AB85" s="90" t="str">
        <f t="shared" ref="AB85" si="1306">IF(AB80&gt;AA81,"YES", "NO")</f>
        <v>NO</v>
      </c>
      <c r="AC85" s="90" t="str">
        <f t="shared" ref="AC85" si="1307">IF(AC80&gt;AB81,"YES", "NO")</f>
        <v>NO</v>
      </c>
      <c r="AD85" s="90" t="str">
        <f t="shared" ref="AD85" si="1308">IF(AD80&gt;AC81,"YES", "NO")</f>
        <v>NO</v>
      </c>
      <c r="AE85" s="90" t="str">
        <f t="shared" ref="AE85" si="1309">IF(AE80&gt;AD81,"YES", "NO")</f>
        <v>NO</v>
      </c>
      <c r="AF85" s="90" t="str">
        <f t="shared" ref="AF85" si="1310">IF(AF80&gt;AE81,"YES", "NO")</f>
        <v>NO</v>
      </c>
      <c r="AG85" s="90" t="str">
        <f t="shared" ref="AG85" si="1311">IF(AG80&gt;AF81,"YES", "NO")</f>
        <v>NO</v>
      </c>
      <c r="AH85" s="90" t="str">
        <f t="shared" ref="AH85" si="1312">IF(AH80&gt;AG81,"YES", "NO")</f>
        <v>NO</v>
      </c>
      <c r="AI85" s="90" t="str">
        <f t="shared" ref="AI85" si="1313">IF(AI80&gt;AH81,"YES", "NO")</f>
        <v>NO</v>
      </c>
      <c r="AJ85" s="90" t="str">
        <f t="shared" ref="AJ85" si="1314">IF(AJ80&gt;AI81,"YES", "NO")</f>
        <v>NO</v>
      </c>
      <c r="AK85" s="90" t="str">
        <f t="shared" ref="AK85" si="1315">IF(AK80&gt;AJ81,"YES", "NO")</f>
        <v>NO</v>
      </c>
      <c r="AL85" s="1" t="s">
        <v>186</v>
      </c>
      <c r="AN85" s="90"/>
      <c r="AO85" s="90" t="str">
        <f t="shared" ref="AO85" si="1316">IF(AO80&gt;AN81,"YES", "NO")</f>
        <v>NO</v>
      </c>
      <c r="AP85" s="90" t="str">
        <f t="shared" ref="AP85" si="1317">IF(AP80&gt;AO81,"YES", "NO")</f>
        <v>NO</v>
      </c>
      <c r="AQ85" s="90" t="str">
        <f t="shared" ref="AQ85" si="1318">IF(AQ80&gt;AP81,"YES", "NO")</f>
        <v>NO</v>
      </c>
      <c r="AR85" s="90" t="str">
        <f t="shared" ref="AR85" si="1319">IF(AR80&gt;AQ81,"YES", "NO")</f>
        <v>NO</v>
      </c>
      <c r="AS85" s="90" t="str">
        <f t="shared" ref="AS85" si="1320">IF(AS80&gt;AR81,"YES", "NO")</f>
        <v>NO</v>
      </c>
      <c r="AT85" s="90" t="str">
        <f t="shared" ref="AT85" si="1321">IF(AT80&gt;AS81,"YES", "NO")</f>
        <v>NO</v>
      </c>
      <c r="AU85" s="90" t="str">
        <f t="shared" ref="AU85" si="1322">IF(AU80&gt;AT81,"YES", "NO")</f>
        <v>NO</v>
      </c>
      <c r="AV85" s="90" t="str">
        <f>IF(AV80&gt;AU81,"YES", "NO")</f>
        <v>NO</v>
      </c>
      <c r="AW85" s="90" t="str">
        <f t="shared" ref="AW85" si="1323">IF(AW80&gt;AV81,"YES", "NO")</f>
        <v>NO</v>
      </c>
      <c r="AX85" s="90" t="str">
        <f t="shared" ref="AX85" si="1324">IF(AX80&gt;AW81,"YES", "NO")</f>
        <v>NO</v>
      </c>
      <c r="AY85" s="90" t="str">
        <f t="shared" ref="AY85" si="1325">IF(AY80&gt;AX81,"YES", "NO")</f>
        <v>NO</v>
      </c>
      <c r="AZ85" s="90" t="str">
        <f t="shared" ref="AZ85" si="1326">IF(AZ80&gt;AY81,"YES", "NO")</f>
        <v>NO</v>
      </c>
      <c r="BA85" s="90" t="str">
        <f t="shared" ref="BA85" si="1327">IF(BA80&gt;AZ81,"YES", "NO")</f>
        <v>NO</v>
      </c>
      <c r="BB85" s="90" t="str">
        <f t="shared" ref="BB85" si="1328">IF(BB80&gt;BA81,"YES", "NO")</f>
        <v>NO</v>
      </c>
      <c r="BC85" s="90" t="str">
        <f t="shared" ref="BC85" si="1329">IF(BC80&gt;BB81,"YES", "NO")</f>
        <v>NO</v>
      </c>
      <c r="BD85" s="90" t="str">
        <f t="shared" ref="BD85" si="1330">IF(BD80&gt;BC81,"YES", "NO")</f>
        <v>NO</v>
      </c>
      <c r="BE85" s="90" t="str">
        <f t="shared" ref="BE85" si="1331">IF(BE80&gt;BD81,"YES", "NO")</f>
        <v>NO</v>
      </c>
      <c r="BF85" s="90" t="str">
        <f t="shared" ref="BF85" si="1332">IF(BF80&gt;BE81,"YES", "NO")</f>
        <v>NO</v>
      </c>
      <c r="BG85" s="90" t="str">
        <f t="shared" ref="BG85" si="1333">IF(BG80&gt;BF81,"YES", "NO")</f>
        <v>NO</v>
      </c>
      <c r="BH85" s="90" t="str">
        <f t="shared" ref="BH85" si="1334">IF(BH80&gt;BG81,"YES", "NO")</f>
        <v>NO</v>
      </c>
      <c r="BI85" s="90" t="str">
        <f t="shared" ref="BI85" si="1335">IF(BI80&gt;BH81,"YES", "NO")</f>
        <v>NO</v>
      </c>
      <c r="BJ85" s="90" t="str">
        <f t="shared" ref="BJ85" si="1336">IF(BJ80&gt;BI81,"YES", "NO")</f>
        <v>NO</v>
      </c>
      <c r="BK85" s="90" t="str">
        <f t="shared" ref="BK85" si="1337">IF(BK80&gt;BJ81,"YES", "NO")</f>
        <v>NO</v>
      </c>
      <c r="BL85" s="1" t="s">
        <v>186</v>
      </c>
      <c r="BN85" s="90"/>
      <c r="BO85" s="90" t="str">
        <f t="shared" ref="BO85" si="1338">IF(BO80&gt;BN81,"YES", "NO")</f>
        <v>NO</v>
      </c>
      <c r="BP85" s="90" t="str">
        <f t="shared" ref="BP85" si="1339">IF(BP80&gt;BO81,"YES", "NO")</f>
        <v>NO</v>
      </c>
      <c r="BQ85" s="90" t="str">
        <f t="shared" ref="BQ85" si="1340">IF(BQ80&gt;BP81,"YES", "NO")</f>
        <v>NO</v>
      </c>
      <c r="BR85" s="90" t="str">
        <f t="shared" ref="BR85" si="1341">IF(BR80&gt;BQ81,"YES", "NO")</f>
        <v>NO</v>
      </c>
      <c r="BS85" s="90" t="str">
        <f t="shared" ref="BS85" si="1342">IF(BS80&gt;BR81,"YES", "NO")</f>
        <v>NO</v>
      </c>
      <c r="BT85" s="90" t="str">
        <f t="shared" ref="BT85" si="1343">IF(BT80&gt;BS81,"YES", "NO")</f>
        <v>NO</v>
      </c>
      <c r="BU85" s="90" t="str">
        <f t="shared" ref="BU85" si="1344">IF(BU80&gt;BT81,"YES", "NO")</f>
        <v>NO</v>
      </c>
      <c r="BV85" s="90" t="str">
        <f>IF(BV80&gt;BU81,"YES", "NO")</f>
        <v>NO</v>
      </c>
      <c r="BW85" s="90" t="str">
        <f t="shared" ref="BW85" si="1345">IF(BW80&gt;BV81,"YES", "NO")</f>
        <v>NO</v>
      </c>
      <c r="BX85" s="90" t="str">
        <f t="shared" ref="BX85" si="1346">IF(BX80&gt;BW81,"YES", "NO")</f>
        <v>NO</v>
      </c>
      <c r="BY85" s="90" t="str">
        <f t="shared" ref="BY85" si="1347">IF(BY80&gt;BX81,"YES", "NO")</f>
        <v>NO</v>
      </c>
      <c r="BZ85" s="90" t="str">
        <f t="shared" ref="BZ85" si="1348">IF(BZ80&gt;BY81,"YES", "NO")</f>
        <v>NO</v>
      </c>
      <c r="CA85" s="90" t="str">
        <f t="shared" ref="CA85" si="1349">IF(CA80&gt;BZ81,"YES", "NO")</f>
        <v>NO</v>
      </c>
      <c r="CB85" s="90" t="str">
        <f t="shared" ref="CB85" si="1350">IF(CB80&gt;CA81,"YES", "NO")</f>
        <v>NO</v>
      </c>
      <c r="CC85" s="90" t="str">
        <f t="shared" ref="CC85" si="1351">IF(CC80&gt;CB81,"YES", "NO")</f>
        <v>NO</v>
      </c>
      <c r="CD85" s="90" t="str">
        <f t="shared" ref="CD85" si="1352">IF(CD80&gt;CC81,"YES", "NO")</f>
        <v>NO</v>
      </c>
      <c r="CE85" s="90" t="str">
        <f t="shared" ref="CE85" si="1353">IF(CE80&gt;CD81,"YES", "NO")</f>
        <v>NO</v>
      </c>
      <c r="CF85" s="90" t="str">
        <f t="shared" ref="CF85" si="1354">IF(CF80&gt;CE81,"YES", "NO")</f>
        <v>NO</v>
      </c>
      <c r="CG85" s="90" t="str">
        <f t="shared" ref="CG85" si="1355">IF(CG80&gt;CF81,"YES", "NO")</f>
        <v>NO</v>
      </c>
      <c r="CH85" s="90" t="str">
        <f t="shared" ref="CH85" si="1356">IF(CH80&gt;CG81,"YES", "NO")</f>
        <v>NO</v>
      </c>
      <c r="CI85" s="90" t="str">
        <f t="shared" ref="CI85" si="1357">IF(CI80&gt;CH81,"YES", "NO")</f>
        <v>NO</v>
      </c>
      <c r="CJ85" s="90" t="str">
        <f t="shared" ref="CJ85" si="1358">IF(CJ80&gt;CI81,"YES", "NO")</f>
        <v>NO</v>
      </c>
      <c r="CK85" s="90" t="str">
        <f t="shared" ref="CK85" si="1359">IF(CK80&gt;CJ81,"YES", "NO")</f>
        <v>NO</v>
      </c>
      <c r="CL85" s="1" t="s">
        <v>186</v>
      </c>
      <c r="CN85" s="90"/>
      <c r="CO85" s="90" t="str">
        <f t="shared" ref="CO85" si="1360">IF(CO80&gt;CN81,"YES", "NO")</f>
        <v>NO</v>
      </c>
      <c r="CP85" s="90" t="str">
        <f t="shared" ref="CP85" si="1361">IF(CP80&gt;CO81,"YES", "NO")</f>
        <v>NO</v>
      </c>
      <c r="CQ85" s="90" t="str">
        <f t="shared" ref="CQ85" si="1362">IF(CQ80&gt;CP81,"YES", "NO")</f>
        <v>NO</v>
      </c>
      <c r="CR85" s="90" t="str">
        <f t="shared" ref="CR85" si="1363">IF(CR80&gt;CQ81,"YES", "NO")</f>
        <v>NO</v>
      </c>
      <c r="CS85" s="90" t="str">
        <f t="shared" ref="CS85" si="1364">IF(CS80&gt;CR81,"YES", "NO")</f>
        <v>NO</v>
      </c>
      <c r="CT85" s="90" t="str">
        <f t="shared" ref="CT85" si="1365">IF(CT80&gt;CS81,"YES", "NO")</f>
        <v>NO</v>
      </c>
      <c r="CU85" s="90" t="str">
        <f t="shared" ref="CU85" si="1366">IF(CU80&gt;CT81,"YES", "NO")</f>
        <v>NO</v>
      </c>
      <c r="CV85" s="90" t="str">
        <f>IF(CV80&gt;CU81,"YES", "NO")</f>
        <v>NO</v>
      </c>
      <c r="CW85" s="90" t="str">
        <f t="shared" ref="CW85" si="1367">IF(CW80&gt;CV81,"YES", "NO")</f>
        <v>NO</v>
      </c>
      <c r="CX85" s="90" t="str">
        <f t="shared" ref="CX85" si="1368">IF(CX80&gt;CW81,"YES", "NO")</f>
        <v>NO</v>
      </c>
      <c r="CY85" s="90" t="str">
        <f t="shared" ref="CY85" si="1369">IF(CY80&gt;CX81,"YES", "NO")</f>
        <v>NO</v>
      </c>
      <c r="CZ85" s="90" t="str">
        <f t="shared" ref="CZ85" si="1370">IF(CZ80&gt;CY81,"YES", "NO")</f>
        <v>NO</v>
      </c>
      <c r="DA85" s="90" t="str">
        <f t="shared" ref="DA85" si="1371">IF(DA80&gt;CZ81,"YES", "NO")</f>
        <v>NO</v>
      </c>
      <c r="DB85" s="90" t="str">
        <f t="shared" ref="DB85" si="1372">IF(DB80&gt;DA81,"YES", "NO")</f>
        <v>NO</v>
      </c>
      <c r="DC85" s="90" t="str">
        <f t="shared" ref="DC85" si="1373">IF(DC80&gt;DB81,"YES", "NO")</f>
        <v>NO</v>
      </c>
      <c r="DD85" s="90" t="str">
        <f t="shared" ref="DD85" si="1374">IF(DD80&gt;DC81,"YES", "NO")</f>
        <v>NO</v>
      </c>
      <c r="DE85" s="90" t="str">
        <f t="shared" ref="DE85" si="1375">IF(DE80&gt;DD81,"YES", "NO")</f>
        <v>NO</v>
      </c>
      <c r="DF85" s="90" t="str">
        <f t="shared" ref="DF85" si="1376">IF(DF80&gt;DE81,"YES", "NO")</f>
        <v>NO</v>
      </c>
      <c r="DG85" s="90" t="str">
        <f t="shared" ref="DG85" si="1377">IF(DG80&gt;DF81,"YES", "NO")</f>
        <v>NO</v>
      </c>
      <c r="DH85" s="90" t="str">
        <f t="shared" ref="DH85" si="1378">IF(DH80&gt;DG81,"YES", "NO")</f>
        <v>NO</v>
      </c>
      <c r="DI85" s="90" t="str">
        <f t="shared" ref="DI85" si="1379">IF(DI80&gt;DH81,"YES", "NO")</f>
        <v>NO</v>
      </c>
      <c r="DJ85" s="90" t="str">
        <f t="shared" ref="DJ85" si="1380">IF(DJ80&gt;DI81,"YES", "NO")</f>
        <v>NO</v>
      </c>
      <c r="DK85" s="90" t="str">
        <f t="shared" ref="DK85" si="1381">IF(DK80&gt;DJ81,"YES", "NO")</f>
        <v>NO</v>
      </c>
      <c r="DL85" s="1" t="s">
        <v>186</v>
      </c>
      <c r="DN85" s="90"/>
      <c r="DO85" s="90" t="str">
        <f t="shared" ref="DO85" si="1382">IF(DO80&gt;DN81,"YES", "NO")</f>
        <v>NO</v>
      </c>
      <c r="DP85" s="90" t="str">
        <f t="shared" ref="DP85" si="1383">IF(DP80&gt;DO81,"YES", "NO")</f>
        <v>NO</v>
      </c>
      <c r="DQ85" s="90" t="str">
        <f t="shared" ref="DQ85" si="1384">IF(DQ80&gt;DP81,"YES", "NO")</f>
        <v>NO</v>
      </c>
      <c r="DR85" s="90" t="str">
        <f t="shared" ref="DR85" si="1385">IF(DR80&gt;DQ81,"YES", "NO")</f>
        <v>NO</v>
      </c>
      <c r="DS85" s="90" t="str">
        <f t="shared" ref="DS85" si="1386">IF(DS80&gt;DR81,"YES", "NO")</f>
        <v>NO</v>
      </c>
      <c r="DT85" s="90" t="str">
        <f t="shared" ref="DT85" si="1387">IF(DT80&gt;DS81,"YES", "NO")</f>
        <v>NO</v>
      </c>
      <c r="DU85" s="90" t="str">
        <f t="shared" ref="DU85" si="1388">IF(DU80&gt;DT81,"YES", "NO")</f>
        <v>NO</v>
      </c>
      <c r="DV85" s="90" t="str">
        <f>IF(DV80&gt;DU81,"YES", "NO")</f>
        <v>NO</v>
      </c>
      <c r="DW85" s="90" t="str">
        <f t="shared" ref="DW85" si="1389">IF(DW80&gt;DV81,"YES", "NO")</f>
        <v>NO</v>
      </c>
      <c r="DX85" s="90" t="str">
        <f t="shared" ref="DX85" si="1390">IF(DX80&gt;DW81,"YES", "NO")</f>
        <v>NO</v>
      </c>
      <c r="DY85" s="90" t="str">
        <f t="shared" ref="DY85" si="1391">IF(DY80&gt;DX81,"YES", "NO")</f>
        <v>NO</v>
      </c>
      <c r="DZ85" s="90" t="str">
        <f t="shared" ref="DZ85" si="1392">IF(DZ80&gt;DY81,"YES", "NO")</f>
        <v>NO</v>
      </c>
      <c r="EA85" s="90" t="str">
        <f t="shared" ref="EA85" si="1393">IF(EA80&gt;DZ81,"YES", "NO")</f>
        <v>NO</v>
      </c>
      <c r="EB85" s="90" t="str">
        <f t="shared" ref="EB85" si="1394">IF(EB80&gt;EA81,"YES", "NO")</f>
        <v>NO</v>
      </c>
      <c r="EC85" s="90" t="str">
        <f t="shared" ref="EC85" si="1395">IF(EC80&gt;EB81,"YES", "NO")</f>
        <v>NO</v>
      </c>
      <c r="ED85" s="90" t="str">
        <f t="shared" ref="ED85" si="1396">IF(ED80&gt;EC81,"YES", "NO")</f>
        <v>NO</v>
      </c>
      <c r="EE85" s="90" t="str">
        <f t="shared" ref="EE85" si="1397">IF(EE80&gt;ED81,"YES", "NO")</f>
        <v>NO</v>
      </c>
      <c r="EF85" s="90" t="str">
        <f t="shared" ref="EF85" si="1398">IF(EF80&gt;EE81,"YES", "NO")</f>
        <v>NO</v>
      </c>
      <c r="EG85" s="90" t="str">
        <f t="shared" ref="EG85" si="1399">IF(EG80&gt;EF81,"YES", "NO")</f>
        <v>NO</v>
      </c>
      <c r="EH85" s="90" t="str">
        <f t="shared" ref="EH85" si="1400">IF(EH80&gt;EG81,"YES", "NO")</f>
        <v>NO</v>
      </c>
      <c r="EI85" s="90" t="str">
        <f t="shared" ref="EI85" si="1401">IF(EI80&gt;EH81,"YES", "NO")</f>
        <v>NO</v>
      </c>
      <c r="EJ85" s="90" t="str">
        <f t="shared" ref="EJ85" si="1402">IF(EJ80&gt;EI81,"YES", "NO")</f>
        <v>NO</v>
      </c>
      <c r="EK85" s="90" t="str">
        <f t="shared" ref="EK85" si="1403">IF(EK80&gt;EJ81,"YES", "NO")</f>
        <v>NO</v>
      </c>
      <c r="EL85" s="1" t="s">
        <v>186</v>
      </c>
      <c r="EN85" s="90"/>
      <c r="EO85" s="90" t="str">
        <f t="shared" ref="EO85" si="1404">IF(EO80&gt;EN81,"YES", "NO")</f>
        <v>NO</v>
      </c>
      <c r="EP85" s="90" t="str">
        <f t="shared" ref="EP85" si="1405">IF(EP80&gt;EO81,"YES", "NO")</f>
        <v>NO</v>
      </c>
      <c r="EQ85" s="90" t="str">
        <f t="shared" ref="EQ85" si="1406">IF(EQ80&gt;EP81,"YES", "NO")</f>
        <v>NO</v>
      </c>
      <c r="ER85" s="90" t="str">
        <f t="shared" ref="ER85" si="1407">IF(ER80&gt;EQ81,"YES", "NO")</f>
        <v>NO</v>
      </c>
      <c r="ES85" s="90" t="str">
        <f t="shared" ref="ES85" si="1408">IF(ES80&gt;ER81,"YES", "NO")</f>
        <v>NO</v>
      </c>
      <c r="ET85" s="90" t="str">
        <f t="shared" ref="ET85" si="1409">IF(ET80&gt;ES81,"YES", "NO")</f>
        <v>NO</v>
      </c>
      <c r="EU85" s="90" t="str">
        <f t="shared" ref="EU85" si="1410">IF(EU80&gt;ET81,"YES", "NO")</f>
        <v>NO</v>
      </c>
      <c r="EV85" s="90" t="str">
        <f>IF(EV80&gt;EU81,"YES", "NO")</f>
        <v>NO</v>
      </c>
      <c r="EW85" s="90" t="str">
        <f t="shared" ref="EW85" si="1411">IF(EW80&gt;EV81,"YES", "NO")</f>
        <v>NO</v>
      </c>
      <c r="EX85" s="90" t="str">
        <f t="shared" ref="EX85" si="1412">IF(EX80&gt;EW81,"YES", "NO")</f>
        <v>NO</v>
      </c>
      <c r="EY85" s="90" t="str">
        <f t="shared" ref="EY85" si="1413">IF(EY80&gt;EX81,"YES", "NO")</f>
        <v>NO</v>
      </c>
      <c r="EZ85" s="90" t="str">
        <f t="shared" ref="EZ85" si="1414">IF(EZ80&gt;EY81,"YES", "NO")</f>
        <v>NO</v>
      </c>
      <c r="FA85" s="90" t="str">
        <f t="shared" ref="FA85" si="1415">IF(FA80&gt;EZ81,"YES", "NO")</f>
        <v>NO</v>
      </c>
      <c r="FB85" s="90" t="str">
        <f t="shared" ref="FB85" si="1416">IF(FB80&gt;FA81,"YES", "NO")</f>
        <v>NO</v>
      </c>
      <c r="FC85" s="90" t="str">
        <f t="shared" ref="FC85" si="1417">IF(FC80&gt;FB81,"YES", "NO")</f>
        <v>NO</v>
      </c>
      <c r="FD85" s="90" t="str">
        <f t="shared" ref="FD85" si="1418">IF(FD80&gt;FC81,"YES", "NO")</f>
        <v>NO</v>
      </c>
      <c r="FE85" s="90" t="str">
        <f t="shared" ref="FE85" si="1419">IF(FE80&gt;FD81,"YES", "NO")</f>
        <v>NO</v>
      </c>
      <c r="FF85" s="90" t="str">
        <f t="shared" ref="FF85" si="1420">IF(FF80&gt;FE81,"YES", "NO")</f>
        <v>NO</v>
      </c>
      <c r="FG85" s="90" t="str">
        <f t="shared" ref="FG85" si="1421">IF(FG80&gt;FF81,"YES", "NO")</f>
        <v>NO</v>
      </c>
      <c r="FH85" s="90" t="str">
        <f t="shared" ref="FH85" si="1422">IF(FH80&gt;FG81,"YES", "NO")</f>
        <v>NO</v>
      </c>
      <c r="FI85" s="90" t="str">
        <f t="shared" ref="FI85" si="1423">IF(FI80&gt;FH81,"YES", "NO")</f>
        <v>NO</v>
      </c>
      <c r="FJ85" s="90" t="str">
        <f t="shared" ref="FJ85" si="1424">IF(FJ80&gt;FI81,"YES", "NO")</f>
        <v>NO</v>
      </c>
      <c r="FK85" s="90" t="str">
        <f t="shared" ref="FK85" si="1425">IF(FK80&gt;FJ81,"YES", "NO")</f>
        <v>NO</v>
      </c>
    </row>
    <row r="86" spans="2:167" x14ac:dyDescent="0.25">
      <c r="B86" s="37" t="s">
        <v>143</v>
      </c>
      <c r="D86" s="1" t="s">
        <v>40</v>
      </c>
      <c r="E86" s="13">
        <f>E85*J70</f>
        <v>550.80000000000007</v>
      </c>
      <c r="J86" s="38"/>
      <c r="L86" s="1" t="s">
        <v>139</v>
      </c>
      <c r="N86" s="90"/>
      <c r="O86" s="90" t="str" cm="1">
        <f t="array" ref="O86">_xlfn.IFS(O87="YES", IF(O88="NO","Discharge", "Charge"),O76&gt;0,"Charge",O76+O79=0,"Idle")</f>
        <v>Charge</v>
      </c>
      <c r="P86" s="90" t="str" cm="1">
        <f t="array" ref="P86">_xlfn.IFS(P87="YES", IF(P88="NO","Discharge", "Charge"),P76&gt;0,"Charge",P76+P79=0,"Idle")</f>
        <v>Charge</v>
      </c>
      <c r="Q86" s="90" t="str" cm="1">
        <f t="array" ref="Q86">_xlfn.IFS(Q87="YES", IF(Q88="NO","Discharge", "Charge"),Q76&gt;0,"Charge",Q76+Q79=0,"Idle")</f>
        <v>Charge</v>
      </c>
      <c r="R86" s="90" t="str" cm="1">
        <f t="array" ref="R86">_xlfn.IFS(R87="YES", IF(R88="NO","Discharge", "Charge"),R76&gt;0,"Charge",R76+R79=0,"Idle")</f>
        <v>Charge</v>
      </c>
      <c r="S86" s="90" t="str" cm="1">
        <f t="array" ref="S86">_xlfn.IFS(S87="YES", IF(S88="NO","Discharge", "Charge"),S76&gt;0,"Charge",S76+S79=0,"Idle")</f>
        <v>Discharge</v>
      </c>
      <c r="T86" s="90" t="str" cm="1">
        <f t="array" ref="T86">_xlfn.IFS(T87="YES", IF(T88="NO","Discharge", "Charge"),T76&gt;0,"Charge",T76+T79=0,"Idle")</f>
        <v>Discharge</v>
      </c>
      <c r="U86" s="90" t="str" cm="1">
        <f t="array" ref="U86">_xlfn.IFS(U87="YES", IF(U88="NO","Discharge", "Charge"),U76&gt;0,"Charge",U76+U79=0,"Idle")</f>
        <v>Discharge</v>
      </c>
      <c r="V86" s="90" t="str" cm="1">
        <f t="array" ref="V86">_xlfn.IFS(V87="YES", IF(V88="NO","Discharge", "Charge"),V76&gt;0,"Charge",V76+V79=0,"Idle")</f>
        <v>Discharge</v>
      </c>
      <c r="W86" s="90" t="str" cm="1">
        <f t="array" ref="W86">_xlfn.IFS(W87="YES", IF(W88="NO","Discharge", "Charge"),W76&gt;0,"Charge",W76+W79=0,"Idle")</f>
        <v>Discharge</v>
      </c>
      <c r="X86" s="90" t="str" cm="1">
        <f t="array" ref="X86">_xlfn.IFS(X87="YES", IF(X88="NO","Discharge", "Charge"),X76&gt;0,"Charge",X76+X79=0,"Idle")</f>
        <v>Discharge</v>
      </c>
      <c r="Y86" s="90" t="str" cm="1">
        <f t="array" ref="Y86">_xlfn.IFS(Y87="YES", IF(Y88="NO","Discharge", "Charge"),Y76&gt;0,"Charge",Y76+Y79=0,"Idle")</f>
        <v>Discharge</v>
      </c>
      <c r="Z86" s="90" t="str" cm="1">
        <f t="array" ref="Z86">_xlfn.IFS(Z87="YES", IF(Z88="NO","Discharge", "Charge"),Z76&gt;0,"Charge",Z76+Z79=0,"Idle")</f>
        <v>Discharge</v>
      </c>
      <c r="AA86" s="90" t="str" cm="1">
        <f t="array" ref="AA86">_xlfn.IFS(AA87="YES", IF(AA88="NO","Discharge", "Charge"),AA76&gt;0,"Charge",AA76+AA79=0,"Idle")</f>
        <v>Discharge</v>
      </c>
      <c r="AB86" s="90" t="str" cm="1">
        <f t="array" ref="AB86">_xlfn.IFS(AB87="YES", IF(AB88="NO","Discharge", "Charge"),AB76&gt;0,"Charge",AB76+AB79=0,"Idle")</f>
        <v>Discharge</v>
      </c>
      <c r="AC86" s="90" t="str" cm="1">
        <f t="array" ref="AC86">_xlfn.IFS(AC87="YES", IF(AC88="NO","Discharge", "Charge"),AC76&gt;0,"Charge",AC76+AC79=0,"Idle")</f>
        <v>Discharge</v>
      </c>
      <c r="AD86" s="90" t="str" cm="1">
        <f t="array" ref="AD86">_xlfn.IFS(AD87="YES", IF(AD88="NO","Discharge", "Charge"),AD76&gt;0,"Charge",AD76+AD79=0,"Idle")</f>
        <v>Discharge</v>
      </c>
      <c r="AE86" s="90" t="str" cm="1">
        <f t="array" ref="AE86">_xlfn.IFS(AE87="YES", IF(AE88="NO","Discharge", "Charge"),AE76&gt;0,"Charge",AE76+AE79=0,"Idle")</f>
        <v>Discharge</v>
      </c>
      <c r="AF86" s="90" t="str" cm="1">
        <f t="array" ref="AF86">_xlfn.IFS(AF87="YES", IF(AF88="NO","Discharge", "Charge"),AF76&gt;0,"Charge",AF76+AF79=0,"Idle")</f>
        <v>Discharge</v>
      </c>
      <c r="AG86" s="90" t="str" cm="1">
        <f t="array" ref="AG86">_xlfn.IFS(AG87="YES", IF(AG88="NO","Discharge", "Charge"),AG76&gt;0,"Charge",AG76+AG79=0,"Idle")</f>
        <v>Discharge</v>
      </c>
      <c r="AH86" s="90" t="str" cm="1">
        <f t="array" ref="AH86">_xlfn.IFS(AH87="YES", IF(AH88="NO","Discharge", "Charge"),AH76&gt;0,"Charge",AH76+AH79=0,"Idle")</f>
        <v>Discharge</v>
      </c>
      <c r="AI86" s="90" t="str" cm="1">
        <f t="array" ref="AI86">_xlfn.IFS(AI87="YES", IF(AI88="NO","Discharge", "Charge"),AI76&gt;0,"Charge",AI76+AI79=0,"Idle")</f>
        <v>Discharge</v>
      </c>
      <c r="AJ86" s="90" t="str" cm="1">
        <f t="array" ref="AJ86">_xlfn.IFS(AJ87="YES", IF(AJ88="NO","Discharge", "Charge"),AJ76&gt;0,"Charge",AJ76+AJ79=0,"Idle")</f>
        <v>Charge</v>
      </c>
      <c r="AK86" s="90" t="str" cm="1">
        <f t="array" ref="AK86">_xlfn.IFS(AK87="YES", IF(AK88="NO","Discharge", "Charge"),AK76&gt;0,"Charge",AK76+AK79=0,"Idle")</f>
        <v>Charge</v>
      </c>
      <c r="AL86" s="1" t="s">
        <v>139</v>
      </c>
      <c r="AN86" s="90"/>
      <c r="AO86" s="90" t="str" cm="1">
        <f t="array" ref="AO86">_xlfn.IFS(AO87="YES", IF(AO88="NO","Discharge", "Charge"),AO76&gt;0,"Charge",AO76+AO79=0,"Idle")</f>
        <v>Charge</v>
      </c>
      <c r="AP86" s="90" t="str" cm="1">
        <f t="array" ref="AP86">_xlfn.IFS(AP87="YES", IF(AP88="NO","Discharge", "Charge"),AP76&gt;0,"Charge",AP76+AP79=0,"Idle")</f>
        <v>Charge</v>
      </c>
      <c r="AQ86" s="90" t="str" cm="1">
        <f t="array" ref="AQ86">_xlfn.IFS(AQ87="YES", IF(AQ88="NO","Discharge", "Charge"),AQ76&gt;0,"Charge",AQ76+AQ79=0,"Idle")</f>
        <v>Charge</v>
      </c>
      <c r="AR86" s="90" t="str" cm="1">
        <f t="array" ref="AR86">_xlfn.IFS(AR87="YES", IF(AR88="NO","Discharge", "Charge"),AR76&gt;0,"Charge",AR76+AR79=0,"Idle")</f>
        <v>Charge</v>
      </c>
      <c r="AS86" s="90" t="str" cm="1">
        <f t="array" ref="AS86">_xlfn.IFS(AS87="YES", IF(AS88="NO","Discharge", "Charge"),AS76&gt;0,"Charge",AS76+AS79=0,"Idle")</f>
        <v>Discharge</v>
      </c>
      <c r="AT86" s="90" t="str" cm="1">
        <f t="array" ref="AT86">_xlfn.IFS(AT87="YES", IF(AT88="NO","Discharge", "Charge"),AT76&gt;0,"Charge",AT76+AT79=0,"Idle")</f>
        <v>Discharge</v>
      </c>
      <c r="AU86" s="90" t="str" cm="1">
        <f t="array" ref="AU86">_xlfn.IFS(AU87="YES", IF(AU88="NO","Discharge", "Charge"),AU76&gt;0,"Charge",AU76+AU79=0,"Idle")</f>
        <v>Discharge</v>
      </c>
      <c r="AV86" s="90" t="str" cm="1">
        <f t="array" ref="AV86">_xlfn.IFS(AV87="YES", IF(AV88="NO","Discharge", "Charge"),AV76&gt;0,"Charge",AV76+AV79=0,"Idle")</f>
        <v>Discharge</v>
      </c>
      <c r="AW86" s="90" t="str" cm="1">
        <f t="array" ref="AW86">_xlfn.IFS(AW87="YES", IF(AW88="NO","Discharge", "Charge"),AW76&gt;0,"Charge",AW76+AW79=0,"Idle")</f>
        <v>Discharge</v>
      </c>
      <c r="AX86" s="90" t="str" cm="1">
        <f t="array" ref="AX86">_xlfn.IFS(AX87="YES", IF(AX88="NO","Discharge", "Charge"),AX76&gt;0,"Charge",AX76+AX79=0,"Idle")</f>
        <v>Discharge</v>
      </c>
      <c r="AY86" s="90" t="str" cm="1">
        <f t="array" ref="AY86">_xlfn.IFS(AY87="YES", IF(AY88="NO","Discharge", "Charge"),AY76&gt;0,"Charge",AY76+AY79=0,"Idle")</f>
        <v>Discharge</v>
      </c>
      <c r="AZ86" s="90" t="str" cm="1">
        <f t="array" ref="AZ86">_xlfn.IFS(AZ87="YES", IF(AZ88="NO","Discharge", "Charge"),AZ76&gt;0,"Charge",AZ76+AZ79=0,"Idle")</f>
        <v>Discharge</v>
      </c>
      <c r="BA86" s="90" t="str" cm="1">
        <f t="array" ref="BA86">_xlfn.IFS(BA87="YES", IF(BA88="NO","Discharge", "Charge"),BA76&gt;0,"Charge",BA76+BA79=0,"Idle")</f>
        <v>Discharge</v>
      </c>
      <c r="BB86" s="90" t="str" cm="1">
        <f t="array" ref="BB86">_xlfn.IFS(BB87="YES", IF(BB88="NO","Discharge", "Charge"),BB76&gt;0,"Charge",BB76+BB79=0,"Idle")</f>
        <v>Discharge</v>
      </c>
      <c r="BC86" s="90" t="str" cm="1">
        <f t="array" ref="BC86">_xlfn.IFS(BC87="YES", IF(BC88="NO","Discharge", "Charge"),BC76&gt;0,"Charge",BC76+BC79=0,"Idle")</f>
        <v>Discharge</v>
      </c>
      <c r="BD86" s="90" t="str" cm="1">
        <f t="array" ref="BD86">_xlfn.IFS(BD87="YES", IF(BD88="NO","Discharge", "Charge"),BD76&gt;0,"Charge",BD76+BD79=0,"Idle")</f>
        <v>Discharge</v>
      </c>
      <c r="BE86" s="90" t="str" cm="1">
        <f t="array" ref="BE86">_xlfn.IFS(BE87="YES", IF(BE88="NO","Discharge", "Charge"),BE76&gt;0,"Charge",BE76+BE79=0,"Idle")</f>
        <v>Discharge</v>
      </c>
      <c r="BF86" s="90" t="str" cm="1">
        <f t="array" ref="BF86">_xlfn.IFS(BF87="YES", IF(BF88="NO","Discharge", "Charge"),BF76&gt;0,"Charge",BF76+BF79=0,"Idle")</f>
        <v>Discharge</v>
      </c>
      <c r="BG86" s="90" t="str" cm="1">
        <f t="array" ref="BG86">_xlfn.IFS(BG87="YES", IF(BG88="NO","Discharge", "Charge"),BG76&gt;0,"Charge",BG76+BG79=0,"Idle")</f>
        <v>Discharge</v>
      </c>
      <c r="BH86" s="90" t="str" cm="1">
        <f t="array" ref="BH86">_xlfn.IFS(BH87="YES", IF(BH88="NO","Discharge", "Charge"),BH76&gt;0,"Charge",BH76+BH79=0,"Idle")</f>
        <v>Discharge</v>
      </c>
      <c r="BI86" s="90" t="str" cm="1">
        <f t="array" ref="BI86">_xlfn.IFS(BI87="YES", IF(BI88="NO","Discharge", "Charge"),BI76&gt;0,"Charge",BI76+BI79=0,"Idle")</f>
        <v>Discharge</v>
      </c>
      <c r="BJ86" s="90" t="str" cm="1">
        <f t="array" ref="BJ86">_xlfn.IFS(BJ87="YES", IF(BJ88="NO","Discharge", "Charge"),BJ76&gt;0,"Charge",BJ76+BJ79=0,"Idle")</f>
        <v>Discharge</v>
      </c>
      <c r="BK86" s="90" t="str" cm="1">
        <f t="array" ref="BK86">_xlfn.IFS(BK87="YES", IF(BK88="NO","Discharge", "Charge"),BK76&gt;0,"Charge",BK76+BK79=0,"Idle")</f>
        <v>Discharge</v>
      </c>
      <c r="BL86" s="1" t="s">
        <v>139</v>
      </c>
      <c r="BN86" s="90"/>
      <c r="BO86" s="90" t="str" cm="1">
        <f t="array" ref="BO86">_xlfn.IFS(BO87="YES", IF(BO88="NO","Discharge", "Charge"),BO76&gt;0,"Charge",BO76+BO79=0,"Idle")</f>
        <v>Charge</v>
      </c>
      <c r="BP86" s="90" t="str" cm="1">
        <f t="array" ref="BP86">_xlfn.IFS(BP87="YES", IF(BP88="NO","Discharge", "Charge"),BP76&gt;0,"Charge",BP76+BP79=0,"Idle")</f>
        <v>Charge</v>
      </c>
      <c r="BQ86" s="90" t="str" cm="1">
        <f t="array" ref="BQ86">_xlfn.IFS(BQ87="YES", IF(BQ88="NO","Discharge", "Charge"),BQ76&gt;0,"Charge",BQ76+BQ79=0,"Idle")</f>
        <v>Charge</v>
      </c>
      <c r="BR86" s="90" t="str" cm="1">
        <f t="array" ref="BR86">_xlfn.IFS(BR87="YES", IF(BR88="NO","Discharge", "Charge"),BR76&gt;0,"Charge",BR76+BR79=0,"Idle")</f>
        <v>Charge</v>
      </c>
      <c r="BS86" s="90" t="str" cm="1">
        <f t="array" ref="BS86">_xlfn.IFS(BS87="YES", IF(BS88="NO","Discharge", "Charge"),BS76&gt;0,"Charge",BS76+BS79=0,"Idle")</f>
        <v>Discharge</v>
      </c>
      <c r="BT86" s="90" t="str" cm="1">
        <f t="array" ref="BT86">_xlfn.IFS(BT87="YES", IF(BT88="NO","Discharge", "Charge"),BT76&gt;0,"Charge",BT76+BT79=0,"Idle")</f>
        <v>Discharge</v>
      </c>
      <c r="BU86" s="90" t="str" cm="1">
        <f t="array" ref="BU86">_xlfn.IFS(BU87="YES", IF(BU88="NO","Discharge", "Charge"),BU76&gt;0,"Charge",BU76+BU79=0,"Idle")</f>
        <v>Discharge</v>
      </c>
      <c r="BV86" s="90" t="str" cm="1">
        <f t="array" ref="BV86">_xlfn.IFS(BV87="YES", IF(BV88="NO","Discharge", "Charge"),BV76&gt;0,"Charge",BV76+BV79=0,"Idle")</f>
        <v>Discharge</v>
      </c>
      <c r="BW86" s="90" t="str" cm="1">
        <f t="array" ref="BW86">_xlfn.IFS(BW87="YES", IF(BW88="NO","Discharge", "Charge"),BW76&gt;0,"Charge",BW76+BW79=0,"Idle")</f>
        <v>Discharge</v>
      </c>
      <c r="BX86" s="90" t="str" cm="1">
        <f t="array" ref="BX86">_xlfn.IFS(BX87="YES", IF(BX88="NO","Discharge", "Charge"),BX76&gt;0,"Charge",BX76+BX79=0,"Idle")</f>
        <v>Discharge</v>
      </c>
      <c r="BY86" s="90" t="str" cm="1">
        <f t="array" ref="BY86">_xlfn.IFS(BY87="YES", IF(BY88="NO","Discharge", "Charge"),BY76&gt;0,"Charge",BY76+BY79=0,"Idle")</f>
        <v>Discharge</v>
      </c>
      <c r="BZ86" s="90" t="str" cm="1">
        <f t="array" ref="BZ86">_xlfn.IFS(BZ87="YES", IF(BZ88="NO","Discharge", "Charge"),BZ76&gt;0,"Charge",BZ76+BZ79=0,"Idle")</f>
        <v>Discharge</v>
      </c>
      <c r="CA86" s="90" t="str" cm="1">
        <f t="array" ref="CA86">_xlfn.IFS(CA87="YES", IF(CA88="NO","Discharge", "Charge"),CA76&gt;0,"Charge",CA76+CA79=0,"Idle")</f>
        <v>Discharge</v>
      </c>
      <c r="CB86" s="90" t="str" cm="1">
        <f t="array" ref="CB86">_xlfn.IFS(CB87="YES", IF(CB88="NO","Discharge", "Charge"),CB76&gt;0,"Charge",CB76+CB79=0,"Idle")</f>
        <v>Discharge</v>
      </c>
      <c r="CC86" s="90" t="str" cm="1">
        <f t="array" ref="CC86">_xlfn.IFS(CC87="YES", IF(CC88="NO","Discharge", "Charge"),CC76&gt;0,"Charge",CC76+CC79=0,"Idle")</f>
        <v>Discharge</v>
      </c>
      <c r="CD86" s="90" t="str" cm="1">
        <f t="array" ref="CD86">_xlfn.IFS(CD87="YES", IF(CD88="NO","Discharge", "Charge"),CD76&gt;0,"Charge",CD76+CD79=0,"Idle")</f>
        <v>Discharge</v>
      </c>
      <c r="CE86" s="90" t="str" cm="1">
        <f t="array" ref="CE86">_xlfn.IFS(CE87="YES", IF(CE88="NO","Discharge", "Charge"),CE76&gt;0,"Charge",CE76+CE79=0,"Idle")</f>
        <v>Discharge</v>
      </c>
      <c r="CF86" s="90" t="str" cm="1">
        <f t="array" ref="CF86">_xlfn.IFS(CF87="YES", IF(CF88="NO","Discharge", "Charge"),CF76&gt;0,"Charge",CF76+CF79=0,"Idle")</f>
        <v>Discharge</v>
      </c>
      <c r="CG86" s="90" t="str" cm="1">
        <f t="array" ref="CG86">_xlfn.IFS(CG87="YES", IF(CG88="NO","Discharge", "Charge"),CG76&gt;0,"Charge",CG76+CG79=0,"Idle")</f>
        <v>Discharge</v>
      </c>
      <c r="CH86" s="90" t="str" cm="1">
        <f t="array" ref="CH86">_xlfn.IFS(CH87="YES", IF(CH88="NO","Discharge", "Charge"),CH76&gt;0,"Charge",CH76+CH79=0,"Idle")</f>
        <v>Discharge</v>
      </c>
      <c r="CI86" s="90" t="str" cm="1">
        <f t="array" ref="CI86">_xlfn.IFS(CI87="YES", IF(CI88="NO","Discharge", "Charge"),CI76&gt;0,"Charge",CI76+CI79=0,"Idle")</f>
        <v>Discharge</v>
      </c>
      <c r="CJ86" s="90" t="str" cm="1">
        <f t="array" ref="CJ86">_xlfn.IFS(CJ87="YES", IF(CJ88="NO","Discharge", "Charge"),CJ76&gt;0,"Charge",CJ76+CJ79=0,"Idle")</f>
        <v>Discharge</v>
      </c>
      <c r="CK86" s="90" t="str" cm="1">
        <f t="array" ref="CK86">_xlfn.IFS(CK87="YES", IF(CK88="NO","Discharge", "Charge"),CK76&gt;0,"Charge",CK76+CK79=0,"Idle")</f>
        <v>Charge</v>
      </c>
      <c r="CL86" s="1" t="s">
        <v>139</v>
      </c>
      <c r="CN86" s="90"/>
      <c r="CO86" s="90" t="str" cm="1">
        <f t="array" ref="CO86">_xlfn.IFS(CO87="YES", IF(CO88="NO","Discharge", "Charge"),CO76&gt;0,"Charge",CO76+CO79=0,"Idle")</f>
        <v>Charge</v>
      </c>
      <c r="CP86" s="90" t="str" cm="1">
        <f t="array" ref="CP86">_xlfn.IFS(CP87="YES", IF(CP88="NO","Discharge", "Charge"),CP76&gt;0,"Charge",CP76+CP79=0,"Idle")</f>
        <v>Charge</v>
      </c>
      <c r="CQ86" s="90" t="str" cm="1">
        <f t="array" ref="CQ86">_xlfn.IFS(CQ87="YES", IF(CQ88="NO","Discharge", "Charge"),CQ76&gt;0,"Charge",CQ76+CQ79=0,"Idle")</f>
        <v>Charge</v>
      </c>
      <c r="CR86" s="90" t="str" cm="1">
        <f t="array" ref="CR86">_xlfn.IFS(CR87="YES", IF(CR88="NO","Discharge", "Charge"),CR76&gt;0,"Charge",CR76+CR79=0,"Idle")</f>
        <v>Discharge</v>
      </c>
      <c r="CS86" s="90" t="str" cm="1">
        <f t="array" ref="CS86">_xlfn.IFS(CS87="YES", IF(CS88="NO","Discharge", "Charge"),CS76&gt;0,"Charge",CS76+CS79=0,"Idle")</f>
        <v>Discharge</v>
      </c>
      <c r="CT86" s="90" t="str" cm="1">
        <f t="array" ref="CT86">_xlfn.IFS(CT87="YES", IF(CT88="NO","Discharge", "Charge"),CT76&gt;0,"Charge",CT76+CT79=0,"Idle")</f>
        <v>Discharge</v>
      </c>
      <c r="CU86" s="90" t="str" cm="1">
        <f t="array" ref="CU86">_xlfn.IFS(CU87="YES", IF(CU88="NO","Discharge", "Charge"),CU76&gt;0,"Charge",CU76+CU79=0,"Idle")</f>
        <v>Discharge</v>
      </c>
      <c r="CV86" s="90" t="str" cm="1">
        <f t="array" ref="CV86">_xlfn.IFS(CV87="YES", IF(CV88="NO","Discharge", "Charge"),CV76&gt;0,"Charge",CV76+CV79=0,"Idle")</f>
        <v>Discharge</v>
      </c>
      <c r="CW86" s="90" t="str" cm="1">
        <f t="array" ref="CW86">_xlfn.IFS(CW87="YES", IF(CW88="NO","Discharge", "Charge"),CW76&gt;0,"Charge",CW76+CW79=0,"Idle")</f>
        <v>Discharge</v>
      </c>
      <c r="CX86" s="90" t="str" cm="1">
        <f t="array" ref="CX86">_xlfn.IFS(CX87="YES", IF(CX88="NO","Discharge", "Charge"),CX76&gt;0,"Charge",CX76+CX79=0,"Idle")</f>
        <v>Discharge</v>
      </c>
      <c r="CY86" s="90" t="str" cm="1">
        <f t="array" ref="CY86">_xlfn.IFS(CY87="YES", IF(CY88="NO","Discharge", "Charge"),CY76&gt;0,"Charge",CY76+CY79=0,"Idle")</f>
        <v>Discharge</v>
      </c>
      <c r="CZ86" s="90" t="str" cm="1">
        <f t="array" ref="CZ86">_xlfn.IFS(CZ87="YES", IF(CZ88="NO","Discharge", "Charge"),CZ76&gt;0,"Charge",CZ76+CZ79=0,"Idle")</f>
        <v>Discharge</v>
      </c>
      <c r="DA86" s="90" t="str" cm="1">
        <f t="array" ref="DA86">_xlfn.IFS(DA87="YES", IF(DA88="NO","Discharge", "Charge"),DA76&gt;0,"Charge",DA76+DA79=0,"Idle")</f>
        <v>Discharge</v>
      </c>
      <c r="DB86" s="90" t="str" cm="1">
        <f t="array" ref="DB86">_xlfn.IFS(DB87="YES", IF(DB88="NO","Discharge", "Charge"),DB76&gt;0,"Charge",DB76+DB79=0,"Idle")</f>
        <v>Discharge</v>
      </c>
      <c r="DC86" s="90" t="str" cm="1">
        <f t="array" ref="DC86">_xlfn.IFS(DC87="YES", IF(DC88="NO","Discharge", "Charge"),DC76&gt;0,"Charge",DC76+DC79=0,"Idle")</f>
        <v>Discharge</v>
      </c>
      <c r="DD86" s="90" t="str" cm="1">
        <f t="array" ref="DD86">_xlfn.IFS(DD87="YES", IF(DD88="NO","Discharge", "Charge"),DD76&gt;0,"Charge",DD76+DD79=0,"Idle")</f>
        <v>Discharge</v>
      </c>
      <c r="DE86" s="90" t="str" cm="1">
        <f t="array" ref="DE86">_xlfn.IFS(DE87="YES", IF(DE88="NO","Discharge", "Charge"),DE76&gt;0,"Charge",DE76+DE79=0,"Idle")</f>
        <v>Discharge</v>
      </c>
      <c r="DF86" s="90" t="str" cm="1">
        <f t="array" ref="DF86">_xlfn.IFS(DF87="YES", IF(DF88="NO","Discharge", "Charge"),DF76&gt;0,"Charge",DF76+DF79=0,"Idle")</f>
        <v>Discharge</v>
      </c>
      <c r="DG86" s="90" t="str" cm="1">
        <f t="array" ref="DG86">_xlfn.IFS(DG87="YES", IF(DG88="NO","Discharge", "Charge"),DG76&gt;0,"Charge",DG76+DG79=0,"Idle")</f>
        <v>Discharge</v>
      </c>
      <c r="DH86" s="90" t="str" cm="1">
        <f t="array" ref="DH86">_xlfn.IFS(DH87="YES", IF(DH88="NO","Discharge", "Charge"),DH76&gt;0,"Charge",DH76+DH79=0,"Idle")</f>
        <v>Discharge</v>
      </c>
      <c r="DI86" s="90" t="str" cm="1">
        <f t="array" ref="DI86">_xlfn.IFS(DI87="YES", IF(DI88="NO","Discharge", "Charge"),DI76&gt;0,"Charge",DI76+DI79=0,"Idle")</f>
        <v>Discharge</v>
      </c>
      <c r="DJ86" s="90" t="str" cm="1">
        <f t="array" ref="DJ86">_xlfn.IFS(DJ87="YES", IF(DJ88="NO","Discharge", "Charge"),DJ76&gt;0,"Charge",DJ76+DJ79=0,"Idle")</f>
        <v>Discharge</v>
      </c>
      <c r="DK86" s="90" t="str" cm="1">
        <f t="array" ref="DK86">_xlfn.IFS(DK87="YES", IF(DK88="NO","Discharge", "Charge"),DK76&gt;0,"Charge",DK76+DK79=0,"Idle")</f>
        <v>Discharge</v>
      </c>
      <c r="DL86" s="1" t="s">
        <v>139</v>
      </c>
      <c r="DN86" s="90"/>
      <c r="DO86" s="90" t="str" cm="1">
        <f t="array" ref="DO86">_xlfn.IFS(DO87="YES", IF(DO88="NO","Discharge", "Charge"),DO76&gt;0,"Charge",DO76+DO79=0,"Idle")</f>
        <v>Charge</v>
      </c>
      <c r="DP86" s="90" t="str" cm="1">
        <f t="array" ref="DP86">_xlfn.IFS(DP87="YES", IF(DP88="NO","Discharge", "Charge"),DP76&gt;0,"Charge",DP76+DP79=0,"Idle")</f>
        <v>Charge</v>
      </c>
      <c r="DQ86" s="90" t="str" cm="1">
        <f t="array" ref="DQ86">_xlfn.IFS(DQ87="YES", IF(DQ88="NO","Discharge", "Charge"),DQ76&gt;0,"Charge",DQ76+DQ79=0,"Idle")</f>
        <v>Charge</v>
      </c>
      <c r="DR86" s="90" t="str" cm="1">
        <f t="array" ref="DR86">_xlfn.IFS(DR87="YES", IF(DR88="NO","Discharge", "Charge"),DR76&gt;0,"Charge",DR76+DR79=0,"Idle")</f>
        <v>Discharge</v>
      </c>
      <c r="DS86" s="90" t="str" cm="1">
        <f t="array" ref="DS86">_xlfn.IFS(DS87="YES", IF(DS88="NO","Discharge", "Charge"),DS76&gt;0,"Charge",DS76+DS79=0,"Idle")</f>
        <v>Discharge</v>
      </c>
      <c r="DT86" s="90" t="str" cm="1">
        <f t="array" ref="DT86">_xlfn.IFS(DT87="YES", IF(DT88="NO","Discharge", "Charge"),DT76&gt;0,"Charge",DT76+DT79=0,"Idle")</f>
        <v>Discharge</v>
      </c>
      <c r="DU86" s="90" t="str" cm="1">
        <f t="array" ref="DU86">_xlfn.IFS(DU87="YES", IF(DU88="NO","Discharge", "Charge"),DU76&gt;0,"Charge",DU76+DU79=0,"Idle")</f>
        <v>Discharge</v>
      </c>
      <c r="DV86" s="90" t="str" cm="1">
        <f t="array" ref="DV86">_xlfn.IFS(DV87="YES", IF(DV88="NO","Discharge", "Charge"),DV76&gt;0,"Charge",DV76+DV79=0,"Idle")</f>
        <v>Discharge</v>
      </c>
      <c r="DW86" s="90" t="str" cm="1">
        <f t="array" ref="DW86">_xlfn.IFS(DW87="YES", IF(DW88="NO","Discharge", "Charge"),DW76&gt;0,"Charge",DW76+DW79=0,"Idle")</f>
        <v>Discharge</v>
      </c>
      <c r="DX86" s="90" t="str" cm="1">
        <f t="array" ref="DX86">_xlfn.IFS(DX87="YES", IF(DX88="NO","Discharge", "Charge"),DX76&gt;0,"Charge",DX76+DX79=0,"Idle")</f>
        <v>Discharge</v>
      </c>
      <c r="DY86" s="90" t="str" cm="1">
        <f t="array" ref="DY86">_xlfn.IFS(DY87="YES", IF(DY88="NO","Discharge", "Charge"),DY76&gt;0,"Charge",DY76+DY79=0,"Idle")</f>
        <v>Discharge</v>
      </c>
      <c r="DZ86" s="90" t="str" cm="1">
        <f t="array" ref="DZ86">_xlfn.IFS(DZ87="YES", IF(DZ88="NO","Discharge", "Charge"),DZ76&gt;0,"Charge",DZ76+DZ79=0,"Idle")</f>
        <v>Discharge</v>
      </c>
      <c r="EA86" s="90" t="str" cm="1">
        <f t="array" ref="EA86">_xlfn.IFS(EA87="YES", IF(EA88="NO","Discharge", "Charge"),EA76&gt;0,"Charge",EA76+EA79=0,"Idle")</f>
        <v>Discharge</v>
      </c>
      <c r="EB86" s="90" t="str" cm="1">
        <f t="array" ref="EB86">_xlfn.IFS(EB87="YES", IF(EB88="NO","Discharge", "Charge"),EB76&gt;0,"Charge",EB76+EB79=0,"Idle")</f>
        <v>Discharge</v>
      </c>
      <c r="EC86" s="90" t="str" cm="1">
        <f t="array" ref="EC86">_xlfn.IFS(EC87="YES", IF(EC88="NO","Discharge", "Charge"),EC76&gt;0,"Charge",EC76+EC79=0,"Idle")</f>
        <v>Discharge</v>
      </c>
      <c r="ED86" s="90" t="str" cm="1">
        <f t="array" ref="ED86">_xlfn.IFS(ED87="YES", IF(ED88="NO","Discharge", "Charge"),ED76&gt;0,"Charge",ED76+ED79=0,"Idle")</f>
        <v>Discharge</v>
      </c>
      <c r="EE86" s="90" t="str" cm="1">
        <f t="array" ref="EE86">_xlfn.IFS(EE87="YES", IF(EE88="NO","Discharge", "Charge"),EE76&gt;0,"Charge",EE76+EE79=0,"Idle")</f>
        <v>Discharge</v>
      </c>
      <c r="EF86" s="90" t="str" cm="1">
        <f t="array" ref="EF86">_xlfn.IFS(EF87="YES", IF(EF88="NO","Discharge", "Charge"),EF76&gt;0,"Charge",EF76+EF79=0,"Idle")</f>
        <v>Discharge</v>
      </c>
      <c r="EG86" s="90" t="str" cm="1">
        <f t="array" ref="EG86">_xlfn.IFS(EG87="YES", IF(EG88="NO","Discharge", "Charge"),EG76&gt;0,"Charge",EG76+EG79=0,"Idle")</f>
        <v>Discharge</v>
      </c>
      <c r="EH86" s="90" t="str" cm="1">
        <f t="array" ref="EH86">_xlfn.IFS(EH87="YES", IF(EH88="NO","Discharge", "Charge"),EH76&gt;0,"Charge",EH76+EH79=0,"Idle")</f>
        <v>Discharge</v>
      </c>
      <c r="EI86" s="90" t="str" cm="1">
        <f t="array" ref="EI86">_xlfn.IFS(EI87="YES", IF(EI88="NO","Discharge", "Charge"),EI76&gt;0,"Charge",EI76+EI79=0,"Idle")</f>
        <v>Discharge</v>
      </c>
      <c r="EJ86" s="90" t="str" cm="1">
        <f t="array" ref="EJ86">_xlfn.IFS(EJ87="YES", IF(EJ88="NO","Discharge", "Charge"),EJ76&gt;0,"Charge",EJ76+EJ79=0,"Idle")</f>
        <v>Discharge</v>
      </c>
      <c r="EK86" s="90" t="str" cm="1">
        <f t="array" ref="EK86">_xlfn.IFS(EK87="YES", IF(EK88="NO","Discharge", "Charge"),EK76&gt;0,"Charge",EK76+EK79=0,"Idle")</f>
        <v>Discharge</v>
      </c>
      <c r="EL86" s="1" t="s">
        <v>139</v>
      </c>
      <c r="EN86" s="90"/>
      <c r="EO86" s="90" t="str" cm="1">
        <f t="array" ref="EO86">_xlfn.IFS(EO87="YES", IF(EO88="NO","Discharge", "Charge"),EO76&gt;0,"Charge",EO76+EO79=0,"Idle")</f>
        <v>Charge</v>
      </c>
      <c r="EP86" s="90" t="str" cm="1">
        <f t="array" ref="EP86">_xlfn.IFS(EP87="YES", IF(EP88="NO","Discharge", "Charge"),EP76&gt;0,"Charge",EP76+EP79=0,"Idle")</f>
        <v>Discharge</v>
      </c>
      <c r="EQ86" s="90" t="str" cm="1">
        <f t="array" ref="EQ86">_xlfn.IFS(EQ87="YES", IF(EQ88="NO","Discharge", "Charge"),EQ76&gt;0,"Charge",EQ76+EQ79=0,"Idle")</f>
        <v>Discharge</v>
      </c>
      <c r="ER86" s="90" t="str" cm="1">
        <f t="array" ref="ER86">_xlfn.IFS(ER87="YES", IF(ER88="NO","Discharge", "Charge"),ER76&gt;0,"Charge",ER76+ER79=0,"Idle")</f>
        <v>Discharge</v>
      </c>
      <c r="ES86" s="90" t="str" cm="1">
        <f t="array" ref="ES86">_xlfn.IFS(ES87="YES", IF(ES88="NO","Discharge", "Charge"),ES76&gt;0,"Charge",ES76+ES79=0,"Idle")</f>
        <v>Discharge</v>
      </c>
      <c r="ET86" s="90" t="str" cm="1">
        <f t="array" ref="ET86">_xlfn.IFS(ET87="YES", IF(ET88="NO","Discharge", "Charge"),ET76&gt;0,"Charge",ET76+ET79=0,"Idle")</f>
        <v>Discharge</v>
      </c>
      <c r="EU86" s="90" t="str" cm="1">
        <f t="array" ref="EU86">_xlfn.IFS(EU87="YES", IF(EU88="NO","Discharge", "Charge"),EU76&gt;0,"Charge",EU76+EU79=0,"Idle")</f>
        <v>Discharge</v>
      </c>
      <c r="EV86" s="90" t="str" cm="1">
        <f t="array" ref="EV86">_xlfn.IFS(EV87="YES", IF(EV88="NO","Discharge", "Charge"),EV76&gt;0,"Charge",EV76+EV79=0,"Idle")</f>
        <v>Discharge</v>
      </c>
      <c r="EW86" s="90" t="str" cm="1">
        <f t="array" ref="EW86">_xlfn.IFS(EW87="YES", IF(EW88="NO","Discharge", "Charge"),EW76&gt;0,"Charge",EW76+EW79=0,"Idle")</f>
        <v>Discharge</v>
      </c>
      <c r="EX86" s="90" t="str" cm="1">
        <f t="array" ref="EX86">_xlfn.IFS(EX87="YES", IF(EX88="NO","Discharge", "Charge"),EX76&gt;0,"Charge",EX76+EX79=0,"Idle")</f>
        <v>Charge</v>
      </c>
      <c r="EY86" s="90" t="str" cm="1">
        <f t="array" ref="EY86">_xlfn.IFS(EY87="YES", IF(EY88="NO","Discharge", "Charge"),EY76&gt;0,"Charge",EY76+EY79=0,"Idle")</f>
        <v>Discharge</v>
      </c>
      <c r="EZ86" s="90" t="str" cm="1">
        <f t="array" ref="EZ86">_xlfn.IFS(EZ87="YES", IF(EZ88="NO","Discharge", "Charge"),EZ76&gt;0,"Charge",EZ76+EZ79=0,"Idle")</f>
        <v>Discharge</v>
      </c>
      <c r="FA86" s="90" t="str" cm="1">
        <f t="array" ref="FA86">_xlfn.IFS(FA87="YES", IF(FA88="NO","Discharge", "Charge"),FA76&gt;0,"Charge",FA76+FA79=0,"Idle")</f>
        <v>Discharge</v>
      </c>
      <c r="FB86" s="90" t="str" cm="1">
        <f t="array" ref="FB86">_xlfn.IFS(FB87="YES", IF(FB88="NO","Discharge", "Charge"),FB76&gt;0,"Charge",FB76+FB79=0,"Idle")</f>
        <v>Discharge</v>
      </c>
      <c r="FC86" s="90" t="str" cm="1">
        <f t="array" ref="FC86">_xlfn.IFS(FC87="YES", IF(FC88="NO","Discharge", "Charge"),FC76&gt;0,"Charge",FC76+FC79=0,"Idle")</f>
        <v>Discharge</v>
      </c>
      <c r="FD86" s="90" t="str" cm="1">
        <f t="array" ref="FD86">_xlfn.IFS(FD87="YES", IF(FD88="NO","Discharge", "Charge"),FD76&gt;0,"Charge",FD76+FD79=0,"Idle")</f>
        <v>Discharge</v>
      </c>
      <c r="FE86" s="90" t="str" cm="1">
        <f t="array" ref="FE86">_xlfn.IFS(FE87="YES", IF(FE88="NO","Discharge", "Charge"),FE76&gt;0,"Charge",FE76+FE79=0,"Idle")</f>
        <v>Discharge</v>
      </c>
      <c r="FF86" s="90" t="str" cm="1">
        <f t="array" ref="FF86">_xlfn.IFS(FF87="YES", IF(FF88="NO","Discharge", "Charge"),FF76&gt;0,"Charge",FF76+FF79=0,"Idle")</f>
        <v>Discharge</v>
      </c>
      <c r="FG86" s="90" t="str" cm="1">
        <f t="array" ref="FG86">_xlfn.IFS(FG87="YES", IF(FG88="NO","Discharge", "Charge"),FG76&gt;0,"Charge",FG76+FG79=0,"Idle")</f>
        <v>Charge</v>
      </c>
      <c r="FH86" s="90" t="str" cm="1">
        <f t="array" ref="FH86">_xlfn.IFS(FH87="YES", IF(FH88="NO","Discharge", "Charge"),FH76&gt;0,"Charge",FH76+FH79=0,"Idle")</f>
        <v>Discharge</v>
      </c>
      <c r="FI86" s="90" t="str" cm="1">
        <f t="array" ref="FI86">_xlfn.IFS(FI87="YES", IF(FI88="NO","Discharge", "Charge"),FI76&gt;0,"Charge",FI76+FI79=0,"Idle")</f>
        <v>Discharge</v>
      </c>
      <c r="FJ86" s="90" t="str" cm="1">
        <f t="array" ref="FJ86">_xlfn.IFS(FJ87="YES", IF(FJ88="NO","Discharge", "Charge"),FJ76&gt;0,"Charge",FJ76+FJ79=0,"Idle")</f>
        <v>Discharge</v>
      </c>
      <c r="FK86" s="90" t="str" cm="1">
        <f t="array" ref="FK86">_xlfn.IFS(FK87="YES", IF(FK88="NO","Discharge", "Charge"),FK76&gt;0,"Charge",FK76+FK79=0,"Idle")</f>
        <v>Discharge</v>
      </c>
    </row>
    <row r="87" spans="2:167" x14ac:dyDescent="0.25">
      <c r="B87" s="37"/>
      <c r="J87" s="38"/>
      <c r="L87" s="1" t="s">
        <v>185</v>
      </c>
      <c r="O87" s="48" t="str">
        <f>IF(O79&gt;0,"YES", "NO")</f>
        <v>NO</v>
      </c>
      <c r="P87" s="48" t="str">
        <f t="shared" ref="P87:AK87" si="1426">IF(P79&gt;0,"YES", "NO")</f>
        <v>NO</v>
      </c>
      <c r="Q87" s="48" t="str">
        <f t="shared" si="1426"/>
        <v>NO</v>
      </c>
      <c r="R87" s="48" t="str">
        <f t="shared" si="1426"/>
        <v>NO</v>
      </c>
      <c r="S87" s="48" t="str">
        <f t="shared" si="1426"/>
        <v>YES</v>
      </c>
      <c r="T87" s="48" t="str">
        <f t="shared" si="1426"/>
        <v>YES</v>
      </c>
      <c r="U87" s="48" t="str">
        <f t="shared" si="1426"/>
        <v>YES</v>
      </c>
      <c r="V87" s="48" t="str">
        <f t="shared" si="1426"/>
        <v>YES</v>
      </c>
      <c r="W87" s="48" t="str">
        <f t="shared" si="1426"/>
        <v>YES</v>
      </c>
      <c r="X87" s="48" t="str">
        <f t="shared" si="1426"/>
        <v>YES</v>
      </c>
      <c r="Y87" s="48" t="str">
        <f t="shared" si="1426"/>
        <v>YES</v>
      </c>
      <c r="Z87" s="48" t="str">
        <f t="shared" si="1426"/>
        <v>YES</v>
      </c>
      <c r="AA87" s="48" t="str">
        <f t="shared" si="1426"/>
        <v>YES</v>
      </c>
      <c r="AB87" s="48" t="str">
        <f t="shared" si="1426"/>
        <v>YES</v>
      </c>
      <c r="AC87" s="48" t="str">
        <f t="shared" si="1426"/>
        <v>YES</v>
      </c>
      <c r="AD87" s="48" t="str">
        <f t="shared" si="1426"/>
        <v>YES</v>
      </c>
      <c r="AE87" s="48" t="str">
        <f t="shared" si="1426"/>
        <v>YES</v>
      </c>
      <c r="AF87" s="48" t="str">
        <f t="shared" si="1426"/>
        <v>YES</v>
      </c>
      <c r="AG87" s="48" t="str">
        <f t="shared" si="1426"/>
        <v>YES</v>
      </c>
      <c r="AH87" s="48" t="str">
        <f t="shared" si="1426"/>
        <v>YES</v>
      </c>
      <c r="AI87" s="48" t="str">
        <f t="shared" si="1426"/>
        <v>YES</v>
      </c>
      <c r="AJ87" s="48" t="str">
        <f t="shared" si="1426"/>
        <v>NO</v>
      </c>
      <c r="AK87" s="48" t="str">
        <f t="shared" si="1426"/>
        <v>NO</v>
      </c>
      <c r="AL87" s="1" t="s">
        <v>185</v>
      </c>
      <c r="AO87" s="48" t="str">
        <f>IF(AO79&gt;0,"YES", "NO")</f>
        <v>NO</v>
      </c>
      <c r="AP87" s="48" t="str">
        <f t="shared" ref="AP87:BK87" si="1427">IF(AP79&gt;0,"YES", "NO")</f>
        <v>NO</v>
      </c>
      <c r="AQ87" s="48" t="str">
        <f t="shared" si="1427"/>
        <v>NO</v>
      </c>
      <c r="AR87" s="48" t="str">
        <f t="shared" si="1427"/>
        <v>NO</v>
      </c>
      <c r="AS87" s="48" t="str">
        <f t="shared" si="1427"/>
        <v>YES</v>
      </c>
      <c r="AT87" s="48" t="str">
        <f t="shared" si="1427"/>
        <v>YES</v>
      </c>
      <c r="AU87" s="48" t="str">
        <f t="shared" si="1427"/>
        <v>YES</v>
      </c>
      <c r="AV87" s="48" t="str">
        <f t="shared" si="1427"/>
        <v>YES</v>
      </c>
      <c r="AW87" s="48" t="str">
        <f t="shared" si="1427"/>
        <v>YES</v>
      </c>
      <c r="AX87" s="48" t="str">
        <f t="shared" si="1427"/>
        <v>YES</v>
      </c>
      <c r="AY87" s="48" t="str">
        <f t="shared" si="1427"/>
        <v>YES</v>
      </c>
      <c r="AZ87" s="48" t="str">
        <f t="shared" si="1427"/>
        <v>YES</v>
      </c>
      <c r="BA87" s="48" t="str">
        <f t="shared" si="1427"/>
        <v>YES</v>
      </c>
      <c r="BB87" s="48" t="str">
        <f t="shared" si="1427"/>
        <v>YES</v>
      </c>
      <c r="BC87" s="48" t="str">
        <f t="shared" si="1427"/>
        <v>YES</v>
      </c>
      <c r="BD87" s="48" t="str">
        <f t="shared" si="1427"/>
        <v>YES</v>
      </c>
      <c r="BE87" s="48" t="str">
        <f t="shared" si="1427"/>
        <v>YES</v>
      </c>
      <c r="BF87" s="48" t="str">
        <f t="shared" si="1427"/>
        <v>YES</v>
      </c>
      <c r="BG87" s="48" t="str">
        <f t="shared" si="1427"/>
        <v>YES</v>
      </c>
      <c r="BH87" s="48" t="str">
        <f t="shared" si="1427"/>
        <v>YES</v>
      </c>
      <c r="BI87" s="48" t="str">
        <f t="shared" si="1427"/>
        <v>YES</v>
      </c>
      <c r="BJ87" s="48" t="str">
        <f t="shared" si="1427"/>
        <v>YES</v>
      </c>
      <c r="BK87" s="48" t="str">
        <f t="shared" si="1427"/>
        <v>YES</v>
      </c>
      <c r="BL87" s="1" t="s">
        <v>185</v>
      </c>
      <c r="BO87" s="48" t="str">
        <f>IF(BO79&gt;0,"YES", "NO")</f>
        <v>NO</v>
      </c>
      <c r="BP87" s="48" t="str">
        <f t="shared" ref="BP87:CK87" si="1428">IF(BP79&gt;0,"YES", "NO")</f>
        <v>NO</v>
      </c>
      <c r="BQ87" s="48" t="str">
        <f t="shared" si="1428"/>
        <v>NO</v>
      </c>
      <c r="BR87" s="48" t="str">
        <f t="shared" si="1428"/>
        <v>NO</v>
      </c>
      <c r="BS87" s="48" t="str">
        <f t="shared" si="1428"/>
        <v>YES</v>
      </c>
      <c r="BT87" s="48" t="str">
        <f t="shared" si="1428"/>
        <v>YES</v>
      </c>
      <c r="BU87" s="48" t="str">
        <f t="shared" si="1428"/>
        <v>YES</v>
      </c>
      <c r="BV87" s="48" t="str">
        <f t="shared" si="1428"/>
        <v>YES</v>
      </c>
      <c r="BW87" s="48" t="str">
        <f t="shared" si="1428"/>
        <v>YES</v>
      </c>
      <c r="BX87" s="48" t="str">
        <f t="shared" si="1428"/>
        <v>YES</v>
      </c>
      <c r="BY87" s="48" t="str">
        <f t="shared" si="1428"/>
        <v>YES</v>
      </c>
      <c r="BZ87" s="48" t="str">
        <f t="shared" si="1428"/>
        <v>YES</v>
      </c>
      <c r="CA87" s="48" t="str">
        <f t="shared" si="1428"/>
        <v>YES</v>
      </c>
      <c r="CB87" s="48" t="str">
        <f t="shared" si="1428"/>
        <v>YES</v>
      </c>
      <c r="CC87" s="48" t="str">
        <f t="shared" si="1428"/>
        <v>YES</v>
      </c>
      <c r="CD87" s="48" t="str">
        <f t="shared" si="1428"/>
        <v>YES</v>
      </c>
      <c r="CE87" s="48" t="str">
        <f t="shared" si="1428"/>
        <v>YES</v>
      </c>
      <c r="CF87" s="48" t="str">
        <f t="shared" si="1428"/>
        <v>YES</v>
      </c>
      <c r="CG87" s="48" t="str">
        <f t="shared" si="1428"/>
        <v>YES</v>
      </c>
      <c r="CH87" s="48" t="str">
        <f t="shared" si="1428"/>
        <v>YES</v>
      </c>
      <c r="CI87" s="48" t="str">
        <f t="shared" si="1428"/>
        <v>YES</v>
      </c>
      <c r="CJ87" s="48" t="str">
        <f t="shared" si="1428"/>
        <v>YES</v>
      </c>
      <c r="CK87" s="48" t="str">
        <f t="shared" si="1428"/>
        <v>NO</v>
      </c>
      <c r="CL87" s="1" t="s">
        <v>185</v>
      </c>
      <c r="CO87" s="48" t="str">
        <f>IF(CO79&gt;0,"YES", "NO")</f>
        <v>NO</v>
      </c>
      <c r="CP87" s="48" t="str">
        <f t="shared" ref="CP87:DK87" si="1429">IF(CP79&gt;0,"YES", "NO")</f>
        <v>NO</v>
      </c>
      <c r="CQ87" s="48" t="str">
        <f t="shared" si="1429"/>
        <v>NO</v>
      </c>
      <c r="CR87" s="48" t="str">
        <f t="shared" si="1429"/>
        <v>YES</v>
      </c>
      <c r="CS87" s="48" t="str">
        <f t="shared" si="1429"/>
        <v>YES</v>
      </c>
      <c r="CT87" s="48" t="str">
        <f t="shared" si="1429"/>
        <v>YES</v>
      </c>
      <c r="CU87" s="48" t="str">
        <f t="shared" si="1429"/>
        <v>YES</v>
      </c>
      <c r="CV87" s="48" t="str">
        <f t="shared" si="1429"/>
        <v>YES</v>
      </c>
      <c r="CW87" s="48" t="str">
        <f t="shared" si="1429"/>
        <v>YES</v>
      </c>
      <c r="CX87" s="48" t="str">
        <f t="shared" si="1429"/>
        <v>YES</v>
      </c>
      <c r="CY87" s="48" t="str">
        <f t="shared" si="1429"/>
        <v>YES</v>
      </c>
      <c r="CZ87" s="48" t="str">
        <f t="shared" si="1429"/>
        <v>YES</v>
      </c>
      <c r="DA87" s="48" t="str">
        <f t="shared" si="1429"/>
        <v>YES</v>
      </c>
      <c r="DB87" s="48" t="str">
        <f t="shared" si="1429"/>
        <v>YES</v>
      </c>
      <c r="DC87" s="48" t="str">
        <f t="shared" si="1429"/>
        <v>YES</v>
      </c>
      <c r="DD87" s="48" t="str">
        <f t="shared" si="1429"/>
        <v>YES</v>
      </c>
      <c r="DE87" s="48" t="str">
        <f t="shared" si="1429"/>
        <v>YES</v>
      </c>
      <c r="DF87" s="48" t="str">
        <f t="shared" si="1429"/>
        <v>YES</v>
      </c>
      <c r="DG87" s="48" t="str">
        <f t="shared" si="1429"/>
        <v>YES</v>
      </c>
      <c r="DH87" s="48" t="str">
        <f t="shared" si="1429"/>
        <v>YES</v>
      </c>
      <c r="DI87" s="48" t="str">
        <f t="shared" si="1429"/>
        <v>YES</v>
      </c>
      <c r="DJ87" s="48" t="str">
        <f t="shared" si="1429"/>
        <v>YES</v>
      </c>
      <c r="DK87" s="48" t="str">
        <f t="shared" si="1429"/>
        <v>YES</v>
      </c>
      <c r="DL87" s="1" t="s">
        <v>185</v>
      </c>
      <c r="DO87" s="48" t="str">
        <f>IF(DO79&gt;0,"YES", "NO")</f>
        <v>NO</v>
      </c>
      <c r="DP87" s="48" t="str">
        <f t="shared" ref="DP87:EK87" si="1430">IF(DP79&gt;0,"YES", "NO")</f>
        <v>NO</v>
      </c>
      <c r="DQ87" s="48" t="str">
        <f t="shared" si="1430"/>
        <v>NO</v>
      </c>
      <c r="DR87" s="48" t="str">
        <f t="shared" si="1430"/>
        <v>YES</v>
      </c>
      <c r="DS87" s="48" t="str">
        <f t="shared" si="1430"/>
        <v>YES</v>
      </c>
      <c r="DT87" s="48" t="str">
        <f t="shared" si="1430"/>
        <v>YES</v>
      </c>
      <c r="DU87" s="48" t="str">
        <f t="shared" si="1430"/>
        <v>YES</v>
      </c>
      <c r="DV87" s="48" t="str">
        <f t="shared" si="1430"/>
        <v>YES</v>
      </c>
      <c r="DW87" s="48" t="str">
        <f t="shared" si="1430"/>
        <v>YES</v>
      </c>
      <c r="DX87" s="48" t="str">
        <f t="shared" si="1430"/>
        <v>YES</v>
      </c>
      <c r="DY87" s="48" t="str">
        <f t="shared" si="1430"/>
        <v>YES</v>
      </c>
      <c r="DZ87" s="48" t="str">
        <f t="shared" si="1430"/>
        <v>YES</v>
      </c>
      <c r="EA87" s="48" t="str">
        <f t="shared" si="1430"/>
        <v>YES</v>
      </c>
      <c r="EB87" s="48" t="str">
        <f t="shared" si="1430"/>
        <v>YES</v>
      </c>
      <c r="EC87" s="48" t="str">
        <f t="shared" si="1430"/>
        <v>YES</v>
      </c>
      <c r="ED87" s="48" t="str">
        <f t="shared" si="1430"/>
        <v>YES</v>
      </c>
      <c r="EE87" s="48" t="str">
        <f t="shared" si="1430"/>
        <v>YES</v>
      </c>
      <c r="EF87" s="48" t="str">
        <f t="shared" si="1430"/>
        <v>YES</v>
      </c>
      <c r="EG87" s="48" t="str">
        <f t="shared" si="1430"/>
        <v>YES</v>
      </c>
      <c r="EH87" s="48" t="str">
        <f t="shared" si="1430"/>
        <v>YES</v>
      </c>
      <c r="EI87" s="48" t="str">
        <f t="shared" si="1430"/>
        <v>YES</v>
      </c>
      <c r="EJ87" s="48" t="str">
        <f t="shared" si="1430"/>
        <v>YES</v>
      </c>
      <c r="EK87" s="48" t="str">
        <f t="shared" si="1430"/>
        <v>YES</v>
      </c>
      <c r="EL87" s="1" t="s">
        <v>185</v>
      </c>
      <c r="EO87" s="48" t="str">
        <f>IF(EO79&gt;0,"YES", "NO")</f>
        <v>YES</v>
      </c>
      <c r="EP87" s="48" t="str">
        <f t="shared" ref="EP87:FK87" si="1431">IF(EP79&gt;0,"YES", "NO")</f>
        <v>YES</v>
      </c>
      <c r="EQ87" s="48" t="str">
        <f t="shared" si="1431"/>
        <v>YES</v>
      </c>
      <c r="ER87" s="48" t="str">
        <f t="shared" si="1431"/>
        <v>YES</v>
      </c>
      <c r="ES87" s="48" t="str">
        <f t="shared" si="1431"/>
        <v>YES</v>
      </c>
      <c r="ET87" s="48" t="str">
        <f t="shared" si="1431"/>
        <v>YES</v>
      </c>
      <c r="EU87" s="48" t="str">
        <f t="shared" si="1431"/>
        <v>YES</v>
      </c>
      <c r="EV87" s="48" t="str">
        <f t="shared" si="1431"/>
        <v>YES</v>
      </c>
      <c r="EW87" s="48" t="str">
        <f t="shared" si="1431"/>
        <v>YES</v>
      </c>
      <c r="EX87" s="48" t="str">
        <f t="shared" si="1431"/>
        <v>YES</v>
      </c>
      <c r="EY87" s="48" t="str">
        <f t="shared" si="1431"/>
        <v>YES</v>
      </c>
      <c r="EZ87" s="48" t="str">
        <f t="shared" si="1431"/>
        <v>YES</v>
      </c>
      <c r="FA87" s="48" t="str">
        <f t="shared" si="1431"/>
        <v>YES</v>
      </c>
      <c r="FB87" s="48" t="str">
        <f t="shared" si="1431"/>
        <v>YES</v>
      </c>
      <c r="FC87" s="48" t="str">
        <f t="shared" si="1431"/>
        <v>YES</v>
      </c>
      <c r="FD87" s="48" t="str">
        <f t="shared" si="1431"/>
        <v>YES</v>
      </c>
      <c r="FE87" s="48" t="str">
        <f t="shared" si="1431"/>
        <v>YES</v>
      </c>
      <c r="FF87" s="48" t="str">
        <f t="shared" si="1431"/>
        <v>YES</v>
      </c>
      <c r="FG87" s="48" t="str">
        <f t="shared" si="1431"/>
        <v>YES</v>
      </c>
      <c r="FH87" s="48" t="str">
        <f t="shared" si="1431"/>
        <v>YES</v>
      </c>
      <c r="FI87" s="48" t="str">
        <f t="shared" si="1431"/>
        <v>YES</v>
      </c>
      <c r="FJ87" s="48" t="str">
        <f t="shared" si="1431"/>
        <v>YES</v>
      </c>
      <c r="FK87" s="48" t="str">
        <f t="shared" si="1431"/>
        <v>YES</v>
      </c>
    </row>
    <row r="88" spans="2:167" x14ac:dyDescent="0.25">
      <c r="B88" s="37"/>
      <c r="J88" s="38"/>
      <c r="L88" s="1" t="s">
        <v>184</v>
      </c>
      <c r="O88" s="48" t="str">
        <f t="shared" ref="O88" si="1432">IF(O87="NO",IF(N81+O76&gt;$E62*$E58,"YES", "NO"), IF(N81-(O79-O76)&lt;$E63*$E58,"YES","NO"))</f>
        <v>NO</v>
      </c>
      <c r="P88" s="48" t="str">
        <f t="shared" ref="P88" si="1433">IF(P87="NO",IF(O81+P76&gt;$E62*$E58,"YES", "NO"), IF(O81-(P79-P76)&lt;$E63*$E58,"YES","NO"))</f>
        <v>NO</v>
      </c>
      <c r="Q88" s="48" t="str">
        <f t="shared" ref="Q88" si="1434">IF(Q87="NO",IF(P81+Q76&gt;$E62*$E58,"YES", "NO"), IF(P81-(Q79-Q76)&lt;$E63*$E58,"YES","NO"))</f>
        <v>NO</v>
      </c>
      <c r="R88" s="48" t="str">
        <f t="shared" ref="R88" si="1435">IF(R87="NO",IF(Q81+R76&gt;$E62*$E58,"YES", "NO"), IF(Q81-(R79-R76)&lt;$E63*$E58,"YES","NO"))</f>
        <v>NO</v>
      </c>
      <c r="S88" s="48" t="str">
        <f t="shared" ref="S88" si="1436">IF(S87="NO",IF(R81+S76&gt;$E62*$E58,"YES", "NO"), IF(R81-(S79-S76)&lt;$E63*$E58,"YES","NO"))</f>
        <v>NO</v>
      </c>
      <c r="T88" s="48" t="str">
        <f t="shared" ref="T88" si="1437">IF(T87="NO",IF(S81+T76&gt;$E62*$E58,"YES", "NO"), IF(S81-(T79-T76)&lt;$E63*$E58,"YES","NO"))</f>
        <v>NO</v>
      </c>
      <c r="U88" s="48" t="str">
        <f t="shared" ref="U88" si="1438">IF(U87="NO",IF(T81+U76&gt;$E62*$E58,"YES", "NO"), IF(T81-(U79-U76)&lt;$E63*$E58,"YES","NO"))</f>
        <v>NO</v>
      </c>
      <c r="V88" s="48" t="str">
        <f t="shared" ref="V88" si="1439">IF(V87="NO",IF(U81+V76&gt;$E62*$E58,"YES", "NO"), IF(U81-(V79-V76)&lt;$E63*$E58,"YES","NO"))</f>
        <v>NO</v>
      </c>
      <c r="W88" s="48" t="str">
        <f t="shared" ref="W88" si="1440">IF(W87="NO",IF(V81+W76&gt;$E62*$E58,"YES", "NO"), IF(V81-(W79-W76)&lt;$E63*$E58,"YES","NO"))</f>
        <v>NO</v>
      </c>
      <c r="X88" s="48" t="str">
        <f t="shared" ref="X88" si="1441">IF(X87="NO",IF(W81+X76&gt;$E62*$E58,"YES", "NO"), IF(W81-(X79-X76)&lt;$E63*$E58,"YES","NO"))</f>
        <v>NO</v>
      </c>
      <c r="Y88" s="48" t="str">
        <f t="shared" ref="Y88" si="1442">IF(Y87="NO",IF(X81+Y76&gt;$E62*$E58,"YES", "NO"), IF(X81-(Y79-Y76)&lt;$E63*$E58,"YES","NO"))</f>
        <v>NO</v>
      </c>
      <c r="Z88" s="48" t="str">
        <f t="shared" ref="Z88" si="1443">IF(Z87="NO",IF(Y81+Z76&gt;$E62*$E58,"YES", "NO"), IF(Y81-(Z79-Z76)&lt;$E63*$E58,"YES","NO"))</f>
        <v>NO</v>
      </c>
      <c r="AA88" s="48" t="str">
        <f t="shared" ref="AA88" si="1444">IF(AA87="NO",IF(Z81+AA76&gt;$E62*$E58,"YES", "NO"), IF(Z81-(AA79-AA76)&lt;$E63*$E58,"YES","NO"))</f>
        <v>NO</v>
      </c>
      <c r="AB88" s="48" t="str">
        <f t="shared" ref="AB88" si="1445">IF(AB87="NO",IF(AA81+AB76&gt;$E62*$E58,"YES", "NO"), IF(AA81-(AB79-AB76)&lt;$E63*$E58,"YES","NO"))</f>
        <v>NO</v>
      </c>
      <c r="AC88" s="48" t="str">
        <f t="shared" ref="AC88" si="1446">IF(AC87="NO",IF(AB81+AC76&gt;$E62*$E58,"YES", "NO"), IF(AB81-(AC79-AC76)&lt;$E63*$E58,"YES","NO"))</f>
        <v>NO</v>
      </c>
      <c r="AD88" s="48" t="str">
        <f t="shared" ref="AD88" si="1447">IF(AD87="NO",IF(AC81+AD76&gt;$E62*$E58,"YES", "NO"), IF(AC81-(AD79-AD76)&lt;$E63*$E58,"YES","NO"))</f>
        <v>NO</v>
      </c>
      <c r="AE88" s="48" t="str">
        <f t="shared" ref="AE88" si="1448">IF(AE87="NO",IF(AD81+AE76&gt;$E62*$E58,"YES", "NO"), IF(AD81-(AE79-AE76)&lt;$E63*$E58,"YES","NO"))</f>
        <v>NO</v>
      </c>
      <c r="AF88" s="48" t="str">
        <f t="shared" ref="AF88" si="1449">IF(AF87="NO",IF(AE81+AF76&gt;$E62*$E58,"YES", "NO"), IF(AE81-(AF79-AF76)&lt;$E63*$E58,"YES","NO"))</f>
        <v>NO</v>
      </c>
      <c r="AG88" s="48" t="str">
        <f t="shared" ref="AG88" si="1450">IF(AG87="NO",IF(AF81+AG76&gt;$E62*$E58,"YES", "NO"), IF(AF81-(AG79-AG76)&lt;$E63*$E58,"YES","NO"))</f>
        <v>NO</v>
      </c>
      <c r="AH88" s="48" t="str">
        <f t="shared" ref="AH88" si="1451">IF(AH87="NO",IF(AG81+AH76&gt;$E62*$E58,"YES", "NO"), IF(AG81-(AH79-AH76)&lt;$E63*$E58,"YES","NO"))</f>
        <v>NO</v>
      </c>
      <c r="AI88" s="48" t="str">
        <f t="shared" ref="AI88" si="1452">IF(AI87="NO",IF(AH81+AI76&gt;$E62*$E58,"YES", "NO"), IF(AH81-(AI79-AI76)&lt;$E63*$E58,"YES","NO"))</f>
        <v>NO</v>
      </c>
      <c r="AJ88" s="48" t="str">
        <f>IF(AJ87="NO",IF(AI81+AJ76&gt;$E62*$E58,"YES", "NO"), IF(AI81-(AJ79-AJ76)&lt;$E63*$E58,"YES","NO"))</f>
        <v>NO</v>
      </c>
      <c r="AK88" s="48" t="str">
        <f t="shared" ref="AK88" si="1453">IF(AK87="NO",IF(AJ81+AK76&gt;$E62*$E58,"YES", "NO"), IF(AJ81-(AK79-AK76)&lt;$E63*$E58,"YES","NO"))</f>
        <v>NO</v>
      </c>
      <c r="AL88" s="1" t="s">
        <v>184</v>
      </c>
      <c r="AO88" s="48" t="str">
        <f t="shared" ref="AO88" si="1454">IF(AO87="NO",IF(AN81+AO76&gt;$E62*$E58,"YES", "NO"), IF(AN81-(AO79-AO76)&lt;$E63*$E58,"YES","NO"))</f>
        <v>NO</v>
      </c>
      <c r="AP88" s="48" t="str">
        <f t="shared" ref="AP88" si="1455">IF(AP87="NO",IF(AO81+AP76&gt;$E62*$E58,"YES", "NO"), IF(AO81-(AP79-AP76)&lt;$E63*$E58,"YES","NO"))</f>
        <v>NO</v>
      </c>
      <c r="AQ88" s="48" t="str">
        <f t="shared" ref="AQ88" si="1456">IF(AQ87="NO",IF(AP81+AQ76&gt;$E62*$E58,"YES", "NO"), IF(AP81-(AQ79-AQ76)&lt;$E63*$E58,"YES","NO"))</f>
        <v>NO</v>
      </c>
      <c r="AR88" s="48" t="str">
        <f t="shared" ref="AR88" si="1457">IF(AR87="NO",IF(AQ81+AR76&gt;$E62*$E58,"YES", "NO"), IF(AQ81-(AR79-AR76)&lt;$E63*$E58,"YES","NO"))</f>
        <v>NO</v>
      </c>
      <c r="AS88" s="48" t="str">
        <f t="shared" ref="AS88" si="1458">IF(AS87="NO",IF(AR81+AS76&gt;$E62*$E58,"YES", "NO"), IF(AR81-(AS79-AS76)&lt;$E63*$E58,"YES","NO"))</f>
        <v>NO</v>
      </c>
      <c r="AT88" s="48" t="str">
        <f t="shared" ref="AT88" si="1459">IF(AT87="NO",IF(AS81+AT76&gt;$E62*$E58,"YES", "NO"), IF(AS81-(AT79-AT76)&lt;$E63*$E58,"YES","NO"))</f>
        <v>NO</v>
      </c>
      <c r="AU88" s="48" t="str">
        <f t="shared" ref="AU88" si="1460">IF(AU87="NO",IF(AT81+AU76&gt;$E62*$E58,"YES", "NO"), IF(AT81-(AU79-AU76)&lt;$E63*$E58,"YES","NO"))</f>
        <v>NO</v>
      </c>
      <c r="AV88" s="48" t="str">
        <f t="shared" ref="AV88" si="1461">IF(AV87="NO",IF(AU81+AV76&gt;$E62*$E58,"YES", "NO"), IF(AU81-(AV79-AV76)&lt;$E63*$E58,"YES","NO"))</f>
        <v>NO</v>
      </c>
      <c r="AW88" s="48" t="str">
        <f t="shared" ref="AW88" si="1462">IF(AW87="NO",IF(AV81+AW76&gt;$E62*$E58,"YES", "NO"), IF(AV81-(AW79-AW76)&lt;$E63*$E58,"YES","NO"))</f>
        <v>NO</v>
      </c>
      <c r="AX88" s="48" t="str">
        <f t="shared" ref="AX88" si="1463">IF(AX87="NO",IF(AW81+AX76&gt;$E62*$E58,"YES", "NO"), IF(AW81-(AX79-AX76)&lt;$E63*$E58,"YES","NO"))</f>
        <v>NO</v>
      </c>
      <c r="AY88" s="48" t="str">
        <f t="shared" ref="AY88" si="1464">IF(AY87="NO",IF(AX81+AY76&gt;$E62*$E58,"YES", "NO"), IF(AX81-(AY79-AY76)&lt;$E63*$E58,"YES","NO"))</f>
        <v>NO</v>
      </c>
      <c r="AZ88" s="48" t="str">
        <f t="shared" ref="AZ88" si="1465">IF(AZ87="NO",IF(AY81+AZ76&gt;$E62*$E58,"YES", "NO"), IF(AY81-(AZ79-AZ76)&lt;$E63*$E58,"YES","NO"))</f>
        <v>NO</v>
      </c>
      <c r="BA88" s="48" t="str">
        <f t="shared" ref="BA88" si="1466">IF(BA87="NO",IF(AZ81+BA76&gt;$E62*$E58,"YES", "NO"), IF(AZ81-(BA79-BA76)&lt;$E63*$E58,"YES","NO"))</f>
        <v>NO</v>
      </c>
      <c r="BB88" s="48" t="str">
        <f t="shared" ref="BB88" si="1467">IF(BB87="NO",IF(BA81+BB76&gt;$E62*$E58,"YES", "NO"), IF(BA81-(BB79-BB76)&lt;$E63*$E58,"YES","NO"))</f>
        <v>NO</v>
      </c>
      <c r="BC88" s="48" t="str">
        <f t="shared" ref="BC88" si="1468">IF(BC87="NO",IF(BB81+BC76&gt;$E62*$E58,"YES", "NO"), IF(BB81-(BC79-BC76)&lt;$E63*$E58,"YES","NO"))</f>
        <v>NO</v>
      </c>
      <c r="BD88" s="48" t="str">
        <f t="shared" ref="BD88" si="1469">IF(BD87="NO",IF(BC81+BD76&gt;$E62*$E58,"YES", "NO"), IF(BC81-(BD79-BD76)&lt;$E63*$E58,"YES","NO"))</f>
        <v>NO</v>
      </c>
      <c r="BE88" s="48" t="str">
        <f t="shared" ref="BE88" si="1470">IF(BE87="NO",IF(BD81+BE76&gt;$E62*$E58,"YES", "NO"), IF(BD81-(BE79-BE76)&lt;$E63*$E58,"YES","NO"))</f>
        <v>NO</v>
      </c>
      <c r="BF88" s="48" t="str">
        <f t="shared" ref="BF88" si="1471">IF(BF87="NO",IF(BE81+BF76&gt;$E62*$E58,"YES", "NO"), IF(BE81-(BF79-BF76)&lt;$E63*$E58,"YES","NO"))</f>
        <v>NO</v>
      </c>
      <c r="BG88" s="48" t="str">
        <f t="shared" ref="BG88" si="1472">IF(BG87="NO",IF(BF81+BG76&gt;$E62*$E58,"YES", "NO"), IF(BF81-(BG79-BG76)&lt;$E63*$E58,"YES","NO"))</f>
        <v>NO</v>
      </c>
      <c r="BH88" s="48" t="str">
        <f t="shared" ref="BH88" si="1473">IF(BH87="NO",IF(BG81+BH76&gt;$E62*$E58,"YES", "NO"), IF(BG81-(BH79-BH76)&lt;$E63*$E58,"YES","NO"))</f>
        <v>NO</v>
      </c>
      <c r="BI88" s="48" t="str">
        <f t="shared" ref="BI88" si="1474">IF(BI87="NO",IF(BH81+BI76&gt;$E62*$E58,"YES", "NO"), IF(BH81-(BI79-BI76)&lt;$E63*$E58,"YES","NO"))</f>
        <v>NO</v>
      </c>
      <c r="BJ88" s="48" t="str">
        <f>IF(BJ87="NO",IF(BI81+BJ76&gt;$E62*$E58,"YES", "NO"), IF(BI81-(BJ79-BJ76)&lt;$E63*$E58,"YES","NO"))</f>
        <v>NO</v>
      </c>
      <c r="BK88" s="48" t="str">
        <f t="shared" ref="BK88" si="1475">IF(BK87="NO",IF(BJ81+BK76&gt;$E62*$E58,"YES", "NO"), IF(BJ81-(BK79-BK76)&lt;$E63*$E58,"YES","NO"))</f>
        <v>NO</v>
      </c>
      <c r="BL88" s="1" t="s">
        <v>184</v>
      </c>
      <c r="BO88" s="48" t="str">
        <f t="shared" ref="BO88" si="1476">IF(BO87="NO",IF(BN81+BO76&gt;$E62*$E58,"YES", "NO"), IF(BN81-(BO79-BO76)&lt;$E63*$E58,"YES","NO"))</f>
        <v>NO</v>
      </c>
      <c r="BP88" s="48" t="str">
        <f t="shared" ref="BP88" si="1477">IF(BP87="NO",IF(BO81+BP76&gt;$E62*$E58,"YES", "NO"), IF(BO81-(BP79-BP76)&lt;$E63*$E58,"YES","NO"))</f>
        <v>NO</v>
      </c>
      <c r="BQ88" s="48" t="str">
        <f t="shared" ref="BQ88" si="1478">IF(BQ87="NO",IF(BP81+BQ76&gt;$E62*$E58,"YES", "NO"), IF(BP81-(BQ79-BQ76)&lt;$E63*$E58,"YES","NO"))</f>
        <v>NO</v>
      </c>
      <c r="BR88" s="48" t="str">
        <f t="shared" ref="BR88" si="1479">IF(BR87="NO",IF(BQ81+BR76&gt;$E62*$E58,"YES", "NO"), IF(BQ81-(BR79-BR76)&lt;$E63*$E58,"YES","NO"))</f>
        <v>NO</v>
      </c>
      <c r="BS88" s="48" t="str">
        <f t="shared" ref="BS88" si="1480">IF(BS87="NO",IF(BR81+BS76&gt;$E62*$E58,"YES", "NO"), IF(BR81-(BS79-BS76)&lt;$E63*$E58,"YES","NO"))</f>
        <v>NO</v>
      </c>
      <c r="BT88" s="48" t="str">
        <f t="shared" ref="BT88" si="1481">IF(BT87="NO",IF(BS81+BT76&gt;$E62*$E58,"YES", "NO"), IF(BS81-(BT79-BT76)&lt;$E63*$E58,"YES","NO"))</f>
        <v>NO</v>
      </c>
      <c r="BU88" s="48" t="str">
        <f t="shared" ref="BU88" si="1482">IF(BU87="NO",IF(BT81+BU76&gt;$E62*$E58,"YES", "NO"), IF(BT81-(BU79-BU76)&lt;$E63*$E58,"YES","NO"))</f>
        <v>NO</v>
      </c>
      <c r="BV88" s="48" t="str">
        <f t="shared" ref="BV88" si="1483">IF(BV87="NO",IF(BU81+BV76&gt;$E62*$E58,"YES", "NO"), IF(BU81-(BV79-BV76)&lt;$E63*$E58,"YES","NO"))</f>
        <v>NO</v>
      </c>
      <c r="BW88" s="48" t="str">
        <f t="shared" ref="BW88" si="1484">IF(BW87="NO",IF(BV81+BW76&gt;$E62*$E58,"YES", "NO"), IF(BV81-(BW79-BW76)&lt;$E63*$E58,"YES","NO"))</f>
        <v>NO</v>
      </c>
      <c r="BX88" s="48" t="str">
        <f t="shared" ref="BX88" si="1485">IF(BX87="NO",IF(BW81+BX76&gt;$E62*$E58,"YES", "NO"), IF(BW81-(BX79-BX76)&lt;$E63*$E58,"YES","NO"))</f>
        <v>NO</v>
      </c>
      <c r="BY88" s="48" t="str">
        <f t="shared" ref="BY88" si="1486">IF(BY87="NO",IF(BX81+BY76&gt;$E62*$E58,"YES", "NO"), IF(BX81-(BY79-BY76)&lt;$E63*$E58,"YES","NO"))</f>
        <v>NO</v>
      </c>
      <c r="BZ88" s="48" t="str">
        <f t="shared" ref="BZ88" si="1487">IF(BZ87="NO",IF(BY81+BZ76&gt;$E62*$E58,"YES", "NO"), IF(BY81-(BZ79-BZ76)&lt;$E63*$E58,"YES","NO"))</f>
        <v>NO</v>
      </c>
      <c r="CA88" s="48" t="str">
        <f t="shared" ref="CA88" si="1488">IF(CA87="NO",IF(BZ81+CA76&gt;$E62*$E58,"YES", "NO"), IF(BZ81-(CA79-CA76)&lt;$E63*$E58,"YES","NO"))</f>
        <v>NO</v>
      </c>
      <c r="CB88" s="48" t="str">
        <f t="shared" ref="CB88" si="1489">IF(CB87="NO",IF(CA81+CB76&gt;$E62*$E58,"YES", "NO"), IF(CA81-(CB79-CB76)&lt;$E63*$E58,"YES","NO"))</f>
        <v>NO</v>
      </c>
      <c r="CC88" s="48" t="str">
        <f t="shared" ref="CC88" si="1490">IF(CC87="NO",IF(CB81+CC76&gt;$E62*$E58,"YES", "NO"), IF(CB81-(CC79-CC76)&lt;$E63*$E58,"YES","NO"))</f>
        <v>NO</v>
      </c>
      <c r="CD88" s="48" t="str">
        <f t="shared" ref="CD88" si="1491">IF(CD87="NO",IF(CC81+CD76&gt;$E62*$E58,"YES", "NO"), IF(CC81-(CD79-CD76)&lt;$E63*$E58,"YES","NO"))</f>
        <v>NO</v>
      </c>
      <c r="CE88" s="48" t="str">
        <f t="shared" ref="CE88" si="1492">IF(CE87="NO",IF(CD81+CE76&gt;$E62*$E58,"YES", "NO"), IF(CD81-(CE79-CE76)&lt;$E63*$E58,"YES","NO"))</f>
        <v>NO</v>
      </c>
      <c r="CF88" s="48" t="str">
        <f t="shared" ref="CF88" si="1493">IF(CF87="NO",IF(CE81+CF76&gt;$E62*$E58,"YES", "NO"), IF(CE81-(CF79-CF76)&lt;$E63*$E58,"YES","NO"))</f>
        <v>NO</v>
      </c>
      <c r="CG88" s="48" t="str">
        <f t="shared" ref="CG88" si="1494">IF(CG87="NO",IF(CF81+CG76&gt;$E62*$E58,"YES", "NO"), IF(CF81-(CG79-CG76)&lt;$E63*$E58,"YES","NO"))</f>
        <v>NO</v>
      </c>
      <c r="CH88" s="48" t="str">
        <f t="shared" ref="CH88" si="1495">IF(CH87="NO",IF(CG81+CH76&gt;$E62*$E58,"YES", "NO"), IF(CG81-(CH79-CH76)&lt;$E63*$E58,"YES","NO"))</f>
        <v>NO</v>
      </c>
      <c r="CI88" s="48" t="str">
        <f t="shared" ref="CI88" si="1496">IF(CI87="NO",IF(CH81+CI76&gt;$E62*$E58,"YES", "NO"), IF(CH81-(CI79-CI76)&lt;$E63*$E58,"YES","NO"))</f>
        <v>NO</v>
      </c>
      <c r="CJ88" s="48" t="str">
        <f>IF(CJ87="NO",IF(CI81+CJ76&gt;$E62*$E58,"YES", "NO"), IF(CI81-(CJ79-CJ76)&lt;$E63*$E58,"YES","NO"))</f>
        <v>NO</v>
      </c>
      <c r="CK88" s="48" t="str">
        <f t="shared" ref="CK88" si="1497">IF(CK87="NO",IF(CJ81+CK76&gt;$E62*$E58,"YES", "NO"), IF(CJ81-(CK79-CK76)&lt;$E63*$E58,"YES","NO"))</f>
        <v>NO</v>
      </c>
      <c r="CL88" s="1" t="s">
        <v>184</v>
      </c>
      <c r="CO88" s="48" t="str">
        <f t="shared" ref="CO88" si="1498">IF(CO87="NO",IF(CN81+CO76&gt;$E62*$E58,"YES", "NO"), IF(CN81-(CO79-CO76)&lt;$E63*$E58,"YES","NO"))</f>
        <v>NO</v>
      </c>
      <c r="CP88" s="48" t="str">
        <f t="shared" ref="CP88" si="1499">IF(CP87="NO",IF(CO81+CP76&gt;$E62*$E58,"YES", "NO"), IF(CO81-(CP79-CP76)&lt;$E63*$E58,"YES","NO"))</f>
        <v>NO</v>
      </c>
      <c r="CQ88" s="48" t="str">
        <f t="shared" ref="CQ88" si="1500">IF(CQ87="NO",IF(CP81+CQ76&gt;$E62*$E58,"YES", "NO"), IF(CP81-(CQ79-CQ76)&lt;$E63*$E58,"YES","NO"))</f>
        <v>NO</v>
      </c>
      <c r="CR88" s="48" t="str">
        <f t="shared" ref="CR88" si="1501">IF(CR87="NO",IF(CQ81+CR76&gt;$E62*$E58,"YES", "NO"), IF(CQ81-(CR79-CR76)&lt;$E63*$E58,"YES","NO"))</f>
        <v>NO</v>
      </c>
      <c r="CS88" s="48" t="str">
        <f t="shared" ref="CS88" si="1502">IF(CS87="NO",IF(CR81+CS76&gt;$E62*$E58,"YES", "NO"), IF(CR81-(CS79-CS76)&lt;$E63*$E58,"YES","NO"))</f>
        <v>NO</v>
      </c>
      <c r="CT88" s="48" t="str">
        <f t="shared" ref="CT88" si="1503">IF(CT87="NO",IF(CS81+CT76&gt;$E62*$E58,"YES", "NO"), IF(CS81-(CT79-CT76)&lt;$E63*$E58,"YES","NO"))</f>
        <v>NO</v>
      </c>
      <c r="CU88" s="48" t="str">
        <f t="shared" ref="CU88" si="1504">IF(CU87="NO",IF(CT81+CU76&gt;$E62*$E58,"YES", "NO"), IF(CT81-(CU79-CU76)&lt;$E63*$E58,"YES","NO"))</f>
        <v>NO</v>
      </c>
      <c r="CV88" s="48" t="str">
        <f t="shared" ref="CV88" si="1505">IF(CV87="NO",IF(CU81+CV76&gt;$E62*$E58,"YES", "NO"), IF(CU81-(CV79-CV76)&lt;$E63*$E58,"YES","NO"))</f>
        <v>NO</v>
      </c>
      <c r="CW88" s="48" t="str">
        <f t="shared" ref="CW88" si="1506">IF(CW87="NO",IF(CV81+CW76&gt;$E62*$E58,"YES", "NO"), IF(CV81-(CW79-CW76)&lt;$E63*$E58,"YES","NO"))</f>
        <v>NO</v>
      </c>
      <c r="CX88" s="48" t="str">
        <f t="shared" ref="CX88" si="1507">IF(CX87="NO",IF(CW81+CX76&gt;$E62*$E58,"YES", "NO"), IF(CW81-(CX79-CX76)&lt;$E63*$E58,"YES","NO"))</f>
        <v>NO</v>
      </c>
      <c r="CY88" s="48" t="str">
        <f t="shared" ref="CY88" si="1508">IF(CY87="NO",IF(CX81+CY76&gt;$E62*$E58,"YES", "NO"), IF(CX81-(CY79-CY76)&lt;$E63*$E58,"YES","NO"))</f>
        <v>NO</v>
      </c>
      <c r="CZ88" s="48" t="str">
        <f t="shared" ref="CZ88" si="1509">IF(CZ87="NO",IF(CY81+CZ76&gt;$E62*$E58,"YES", "NO"), IF(CY81-(CZ79-CZ76)&lt;$E63*$E58,"YES","NO"))</f>
        <v>NO</v>
      </c>
      <c r="DA88" s="48" t="str">
        <f t="shared" ref="DA88" si="1510">IF(DA87="NO",IF(CZ81+DA76&gt;$E62*$E58,"YES", "NO"), IF(CZ81-(DA79-DA76)&lt;$E63*$E58,"YES","NO"))</f>
        <v>NO</v>
      </c>
      <c r="DB88" s="48" t="str">
        <f t="shared" ref="DB88" si="1511">IF(DB87="NO",IF(DA81+DB76&gt;$E62*$E58,"YES", "NO"), IF(DA81-(DB79-DB76)&lt;$E63*$E58,"YES","NO"))</f>
        <v>NO</v>
      </c>
      <c r="DC88" s="48" t="str">
        <f t="shared" ref="DC88" si="1512">IF(DC87="NO",IF(DB81+DC76&gt;$E62*$E58,"YES", "NO"), IF(DB81-(DC79-DC76)&lt;$E63*$E58,"YES","NO"))</f>
        <v>NO</v>
      </c>
      <c r="DD88" s="48" t="str">
        <f t="shared" ref="DD88" si="1513">IF(DD87="NO",IF(DC81+DD76&gt;$E62*$E58,"YES", "NO"), IF(DC81-(DD79-DD76)&lt;$E63*$E58,"YES","NO"))</f>
        <v>NO</v>
      </c>
      <c r="DE88" s="48" t="str">
        <f t="shared" ref="DE88" si="1514">IF(DE87="NO",IF(DD81+DE76&gt;$E62*$E58,"YES", "NO"), IF(DD81-(DE79-DE76)&lt;$E63*$E58,"YES","NO"))</f>
        <v>NO</v>
      </c>
      <c r="DF88" s="48" t="str">
        <f t="shared" ref="DF88" si="1515">IF(DF87="NO",IF(DE81+DF76&gt;$E62*$E58,"YES", "NO"), IF(DE81-(DF79-DF76)&lt;$E63*$E58,"YES","NO"))</f>
        <v>NO</v>
      </c>
      <c r="DG88" s="48" t="str">
        <f t="shared" ref="DG88" si="1516">IF(DG87="NO",IF(DF81+DG76&gt;$E62*$E58,"YES", "NO"), IF(DF81-(DG79-DG76)&lt;$E63*$E58,"YES","NO"))</f>
        <v>NO</v>
      </c>
      <c r="DH88" s="48" t="str">
        <f t="shared" ref="DH88" si="1517">IF(DH87="NO",IF(DG81+DH76&gt;$E62*$E58,"YES", "NO"), IF(DG81-(DH79-DH76)&lt;$E63*$E58,"YES","NO"))</f>
        <v>NO</v>
      </c>
      <c r="DI88" s="48" t="str">
        <f t="shared" ref="DI88" si="1518">IF(DI87="NO",IF(DH81+DI76&gt;$E62*$E58,"YES", "NO"), IF(DH81-(DI79-DI76)&lt;$E63*$E58,"YES","NO"))</f>
        <v>NO</v>
      </c>
      <c r="DJ88" s="48" t="str">
        <f>IF(DJ87="NO",IF(DI81+DJ76&gt;$E62*$E58,"YES", "NO"), IF(DI81-(DJ79-DJ76)&lt;$E63*$E58,"YES","NO"))</f>
        <v>NO</v>
      </c>
      <c r="DK88" s="48" t="str">
        <f t="shared" ref="DK88" si="1519">IF(DK87="NO",IF(DJ81+DK76&gt;$E62*$E58,"YES", "NO"), IF(DJ81-(DK79-DK76)&lt;$E63*$E58,"YES","NO"))</f>
        <v>NO</v>
      </c>
      <c r="DL88" s="1" t="s">
        <v>184</v>
      </c>
      <c r="DO88" s="48" t="str">
        <f t="shared" ref="DO88" si="1520">IF(DO87="NO",IF(DN81+DO76&gt;$E62*$E58,"YES", "NO"), IF(DN81-(DO79-DO76)&lt;$E63*$E58,"YES","NO"))</f>
        <v>NO</v>
      </c>
      <c r="DP88" s="48" t="str">
        <f t="shared" ref="DP88" si="1521">IF(DP87="NO",IF(DO81+DP76&gt;$E62*$E58,"YES", "NO"), IF(DO81-(DP79-DP76)&lt;$E63*$E58,"YES","NO"))</f>
        <v>NO</v>
      </c>
      <c r="DQ88" s="48" t="str">
        <f t="shared" ref="DQ88" si="1522">IF(DQ87="NO",IF(DP81+DQ76&gt;$E62*$E58,"YES", "NO"), IF(DP81-(DQ79-DQ76)&lt;$E63*$E58,"YES","NO"))</f>
        <v>NO</v>
      </c>
      <c r="DR88" s="48" t="str">
        <f t="shared" ref="DR88" si="1523">IF(DR87="NO",IF(DQ81+DR76&gt;$E62*$E58,"YES", "NO"), IF(DQ81-(DR79-DR76)&lt;$E63*$E58,"YES","NO"))</f>
        <v>NO</v>
      </c>
      <c r="DS88" s="48" t="str">
        <f t="shared" ref="DS88" si="1524">IF(DS87="NO",IF(DR81+DS76&gt;$E62*$E58,"YES", "NO"), IF(DR81-(DS79-DS76)&lt;$E63*$E58,"YES","NO"))</f>
        <v>NO</v>
      </c>
      <c r="DT88" s="48" t="str">
        <f t="shared" ref="DT88" si="1525">IF(DT87="NO",IF(DS81+DT76&gt;$E62*$E58,"YES", "NO"), IF(DS81-(DT79-DT76)&lt;$E63*$E58,"YES","NO"))</f>
        <v>NO</v>
      </c>
      <c r="DU88" s="48" t="str">
        <f t="shared" ref="DU88" si="1526">IF(DU87="NO",IF(DT81+DU76&gt;$E62*$E58,"YES", "NO"), IF(DT81-(DU79-DU76)&lt;$E63*$E58,"YES","NO"))</f>
        <v>NO</v>
      </c>
      <c r="DV88" s="48" t="str">
        <f t="shared" ref="DV88" si="1527">IF(DV87="NO",IF(DU81+DV76&gt;$E62*$E58,"YES", "NO"), IF(DU81-(DV79-DV76)&lt;$E63*$E58,"YES","NO"))</f>
        <v>NO</v>
      </c>
      <c r="DW88" s="48" t="str">
        <f t="shared" ref="DW88" si="1528">IF(DW87="NO",IF(DV81+DW76&gt;$E62*$E58,"YES", "NO"), IF(DV81-(DW79-DW76)&lt;$E63*$E58,"YES","NO"))</f>
        <v>NO</v>
      </c>
      <c r="DX88" s="48" t="str">
        <f t="shared" ref="DX88" si="1529">IF(DX87="NO",IF(DW81+DX76&gt;$E62*$E58,"YES", "NO"), IF(DW81-(DX79-DX76)&lt;$E63*$E58,"YES","NO"))</f>
        <v>NO</v>
      </c>
      <c r="DY88" s="48" t="str">
        <f t="shared" ref="DY88" si="1530">IF(DY87="NO",IF(DX81+DY76&gt;$E62*$E58,"YES", "NO"), IF(DX81-(DY79-DY76)&lt;$E63*$E58,"YES","NO"))</f>
        <v>NO</v>
      </c>
      <c r="DZ88" s="48" t="str">
        <f t="shared" ref="DZ88" si="1531">IF(DZ87="NO",IF(DY81+DZ76&gt;$E62*$E58,"YES", "NO"), IF(DY81-(DZ79-DZ76)&lt;$E63*$E58,"YES","NO"))</f>
        <v>NO</v>
      </c>
      <c r="EA88" s="48" t="str">
        <f t="shared" ref="EA88" si="1532">IF(EA87="NO",IF(DZ81+EA76&gt;$E62*$E58,"YES", "NO"), IF(DZ81-(EA79-EA76)&lt;$E63*$E58,"YES","NO"))</f>
        <v>NO</v>
      </c>
      <c r="EB88" s="48" t="str">
        <f t="shared" ref="EB88" si="1533">IF(EB87="NO",IF(EA81+EB76&gt;$E62*$E58,"YES", "NO"), IF(EA81-(EB79-EB76)&lt;$E63*$E58,"YES","NO"))</f>
        <v>NO</v>
      </c>
      <c r="EC88" s="48" t="str">
        <f t="shared" ref="EC88" si="1534">IF(EC87="NO",IF(EB81+EC76&gt;$E62*$E58,"YES", "NO"), IF(EB81-(EC79-EC76)&lt;$E63*$E58,"YES","NO"))</f>
        <v>NO</v>
      </c>
      <c r="ED88" s="48" t="str">
        <f t="shared" ref="ED88" si="1535">IF(ED87="NO",IF(EC81+ED76&gt;$E62*$E58,"YES", "NO"), IF(EC81-(ED79-ED76)&lt;$E63*$E58,"YES","NO"))</f>
        <v>NO</v>
      </c>
      <c r="EE88" s="48" t="str">
        <f t="shared" ref="EE88" si="1536">IF(EE87="NO",IF(ED81+EE76&gt;$E62*$E58,"YES", "NO"), IF(ED81-(EE79-EE76)&lt;$E63*$E58,"YES","NO"))</f>
        <v>NO</v>
      </c>
      <c r="EF88" s="48" t="str">
        <f t="shared" ref="EF88" si="1537">IF(EF87="NO",IF(EE81+EF76&gt;$E62*$E58,"YES", "NO"), IF(EE81-(EF79-EF76)&lt;$E63*$E58,"YES","NO"))</f>
        <v>NO</v>
      </c>
      <c r="EG88" s="48" t="str">
        <f t="shared" ref="EG88" si="1538">IF(EG87="NO",IF(EF81+EG76&gt;$E62*$E58,"YES", "NO"), IF(EF81-(EG79-EG76)&lt;$E63*$E58,"YES","NO"))</f>
        <v>NO</v>
      </c>
      <c r="EH88" s="48" t="str">
        <f t="shared" ref="EH88" si="1539">IF(EH87="NO",IF(EG81+EH76&gt;$E62*$E58,"YES", "NO"), IF(EG81-(EH79-EH76)&lt;$E63*$E58,"YES","NO"))</f>
        <v>NO</v>
      </c>
      <c r="EI88" s="48" t="str">
        <f t="shared" ref="EI88" si="1540">IF(EI87="NO",IF(EH81+EI76&gt;$E62*$E58,"YES", "NO"), IF(EH81-(EI79-EI76)&lt;$E63*$E58,"YES","NO"))</f>
        <v>NO</v>
      </c>
      <c r="EJ88" s="48" t="str">
        <f>IF(EJ87="NO",IF(EI81+EJ76&gt;$E62*$E58,"YES", "NO"), IF(EI81-(EJ79-EJ76)&lt;$E63*$E58,"YES","NO"))</f>
        <v>NO</v>
      </c>
      <c r="EK88" s="48" t="str">
        <f t="shared" ref="EK88" si="1541">IF(EK87="NO",IF(EJ81+EK76&gt;$E62*$E58,"YES", "NO"), IF(EJ81-(EK79-EK76)&lt;$E63*$E58,"YES","NO"))</f>
        <v>NO</v>
      </c>
      <c r="EL88" s="1" t="s">
        <v>184</v>
      </c>
      <c r="EO88" s="48" t="str">
        <f t="shared" ref="EO88" si="1542">IF(EO87="NO",IF(EN81+EO76&gt;$E62*$E58,"YES", "NO"), IF(EN81-(EO79-EO76)&lt;$E63*$E58,"YES","NO"))</f>
        <v>YES</v>
      </c>
      <c r="EP88" s="48" t="str">
        <f t="shared" ref="EP88" si="1543">IF(EP87="NO",IF(EO81+EP76&gt;$E62*$E58,"YES", "NO"), IF(EO81-(EP79-EP76)&lt;$E63*$E58,"YES","NO"))</f>
        <v>NO</v>
      </c>
      <c r="EQ88" s="48" t="str">
        <f t="shared" ref="EQ88" si="1544">IF(EQ87="NO",IF(EP81+EQ76&gt;$E62*$E58,"YES", "NO"), IF(EP81-(EQ79-EQ76)&lt;$E63*$E58,"YES","NO"))</f>
        <v>NO</v>
      </c>
      <c r="ER88" s="48" t="str">
        <f t="shared" ref="ER88" si="1545">IF(ER87="NO",IF(EQ81+ER76&gt;$E62*$E58,"YES", "NO"), IF(EQ81-(ER79-ER76)&lt;$E63*$E58,"YES","NO"))</f>
        <v>NO</v>
      </c>
      <c r="ES88" s="48" t="str">
        <f t="shared" ref="ES88" si="1546">IF(ES87="NO",IF(ER81+ES76&gt;$E62*$E58,"YES", "NO"), IF(ER81-(ES79-ES76)&lt;$E63*$E58,"YES","NO"))</f>
        <v>NO</v>
      </c>
      <c r="ET88" s="48" t="str">
        <f t="shared" ref="ET88" si="1547">IF(ET87="NO",IF(ES81+ET76&gt;$E62*$E58,"YES", "NO"), IF(ES81-(ET79-ET76)&lt;$E63*$E58,"YES","NO"))</f>
        <v>NO</v>
      </c>
      <c r="EU88" s="48" t="str">
        <f t="shared" ref="EU88" si="1548">IF(EU87="NO",IF(ET81+EU76&gt;$E62*$E58,"YES", "NO"), IF(ET81-(EU79-EU76)&lt;$E63*$E58,"YES","NO"))</f>
        <v>NO</v>
      </c>
      <c r="EV88" s="48" t="str">
        <f t="shared" ref="EV88" si="1549">IF(EV87="NO",IF(EU81+EV76&gt;$E62*$E58,"YES", "NO"), IF(EU81-(EV79-EV76)&lt;$E63*$E58,"YES","NO"))</f>
        <v>NO</v>
      </c>
      <c r="EW88" s="48" t="str">
        <f t="shared" ref="EW88" si="1550">IF(EW87="NO",IF(EV81+EW76&gt;$E62*$E58,"YES", "NO"), IF(EV81-(EW79-EW76)&lt;$E63*$E58,"YES","NO"))</f>
        <v>NO</v>
      </c>
      <c r="EX88" s="48" t="str">
        <f t="shared" ref="EX88" si="1551">IF(EX87="NO",IF(EW81+EX76&gt;$E62*$E58,"YES", "NO"), IF(EW81-(EX79-EX76)&lt;$E63*$E58,"YES","NO"))</f>
        <v>YES</v>
      </c>
      <c r="EY88" s="48" t="str">
        <f t="shared" ref="EY88" si="1552">IF(EY87="NO",IF(EX81+EY76&gt;$E62*$E58,"YES", "NO"), IF(EX81-(EY79-EY76)&lt;$E63*$E58,"YES","NO"))</f>
        <v>NO</v>
      </c>
      <c r="EZ88" s="48" t="str">
        <f t="shared" ref="EZ88" si="1553">IF(EZ87="NO",IF(EY81+EZ76&gt;$E62*$E58,"YES", "NO"), IF(EY81-(EZ79-EZ76)&lt;$E63*$E58,"YES","NO"))</f>
        <v>NO</v>
      </c>
      <c r="FA88" s="48" t="str">
        <f t="shared" ref="FA88" si="1554">IF(FA87="NO",IF(EZ81+FA76&gt;$E62*$E58,"YES", "NO"), IF(EZ81-(FA79-FA76)&lt;$E63*$E58,"YES","NO"))</f>
        <v>NO</v>
      </c>
      <c r="FB88" s="48" t="str">
        <f t="shared" ref="FB88" si="1555">IF(FB87="NO",IF(FA81+FB76&gt;$E62*$E58,"YES", "NO"), IF(FA81-(FB79-FB76)&lt;$E63*$E58,"YES","NO"))</f>
        <v>NO</v>
      </c>
      <c r="FC88" s="48" t="str">
        <f t="shared" ref="FC88" si="1556">IF(FC87="NO",IF(FB81+FC76&gt;$E62*$E58,"YES", "NO"), IF(FB81-(FC79-FC76)&lt;$E63*$E58,"YES","NO"))</f>
        <v>NO</v>
      </c>
      <c r="FD88" s="48" t="str">
        <f t="shared" ref="FD88" si="1557">IF(FD87="NO",IF(FC81+FD76&gt;$E62*$E58,"YES", "NO"), IF(FC81-(FD79-FD76)&lt;$E63*$E58,"YES","NO"))</f>
        <v>NO</v>
      </c>
      <c r="FE88" s="48" t="str">
        <f t="shared" ref="FE88" si="1558">IF(FE87="NO",IF(FD81+FE76&gt;$E62*$E58,"YES", "NO"), IF(FD81-(FE79-FE76)&lt;$E63*$E58,"YES","NO"))</f>
        <v>NO</v>
      </c>
      <c r="FF88" s="48" t="str">
        <f t="shared" ref="FF88" si="1559">IF(FF87="NO",IF(FE81+FF76&gt;$E62*$E58,"YES", "NO"), IF(FE81-(FF79-FF76)&lt;$E63*$E58,"YES","NO"))</f>
        <v>NO</v>
      </c>
      <c r="FG88" s="48" t="str">
        <f t="shared" ref="FG88" si="1560">IF(FG87="NO",IF(FF81+FG76&gt;$E62*$E58,"YES", "NO"), IF(FF81-(FG79-FG76)&lt;$E63*$E58,"YES","NO"))</f>
        <v>YES</v>
      </c>
      <c r="FH88" s="48" t="str">
        <f t="shared" ref="FH88" si="1561">IF(FH87="NO",IF(FG81+FH76&gt;$E62*$E58,"YES", "NO"), IF(FG81-(FH79-FH76)&lt;$E63*$E58,"YES","NO"))</f>
        <v>NO</v>
      </c>
      <c r="FI88" s="48" t="str">
        <f t="shared" ref="FI88" si="1562">IF(FI87="NO",IF(FH81+FI76&gt;$E62*$E58,"YES", "NO"), IF(FH81-(FI79-FI76)&lt;$E63*$E58,"YES","NO"))</f>
        <v>NO</v>
      </c>
      <c r="FJ88" s="48" t="str">
        <f>IF(FJ87="NO",IF(FI81+FJ76&gt;$E62*$E58,"YES", "NO"), IF(FI81-(FJ79-FJ76)&lt;$E63*$E58,"YES","NO"))</f>
        <v>NO</v>
      </c>
      <c r="FK88" s="48" t="str">
        <f t="shared" ref="FK88" si="1563">IF(FK87="NO",IF(FJ81+FK76&gt;$E62*$E58,"YES", "NO"), IF(FJ81-(FK79-FK76)&lt;$E63*$E58,"YES","NO"))</f>
        <v>NO</v>
      </c>
    </row>
    <row r="89" spans="2:167" x14ac:dyDescent="0.25">
      <c r="B89" s="39"/>
      <c r="C89" s="19"/>
      <c r="D89" s="19"/>
      <c r="E89" s="19"/>
      <c r="F89" s="19"/>
      <c r="G89" s="19"/>
      <c r="H89" s="19"/>
      <c r="I89" s="19"/>
      <c r="J89" s="40"/>
      <c r="L89" s="1" t="s">
        <v>188</v>
      </c>
      <c r="O89" s="48" t="str">
        <f>IF(O87="YES",IF(O86="Charge","YES","NO"),"NO")</f>
        <v>NO</v>
      </c>
      <c r="P89" s="48" t="str">
        <f t="shared" ref="P89:AK89" si="1564">IF(P87="YES",IF(P86="Charge","YES","NO"),"NO")</f>
        <v>NO</v>
      </c>
      <c r="Q89" s="48" t="str">
        <f t="shared" si="1564"/>
        <v>NO</v>
      </c>
      <c r="R89" s="48" t="str">
        <f t="shared" si="1564"/>
        <v>NO</v>
      </c>
      <c r="S89" s="48" t="str">
        <f t="shared" si="1564"/>
        <v>NO</v>
      </c>
      <c r="T89" s="48" t="str">
        <f t="shared" si="1564"/>
        <v>NO</v>
      </c>
      <c r="U89" s="48" t="str">
        <f t="shared" si="1564"/>
        <v>NO</v>
      </c>
      <c r="V89" s="48" t="str">
        <f t="shared" si="1564"/>
        <v>NO</v>
      </c>
      <c r="W89" s="48" t="str">
        <f t="shared" si="1564"/>
        <v>NO</v>
      </c>
      <c r="X89" s="48" t="str">
        <f t="shared" si="1564"/>
        <v>NO</v>
      </c>
      <c r="Y89" s="48" t="str">
        <f t="shared" si="1564"/>
        <v>NO</v>
      </c>
      <c r="Z89" s="48" t="str">
        <f t="shared" si="1564"/>
        <v>NO</v>
      </c>
      <c r="AA89" s="48" t="str">
        <f t="shared" si="1564"/>
        <v>NO</v>
      </c>
      <c r="AB89" s="48" t="str">
        <f t="shared" si="1564"/>
        <v>NO</v>
      </c>
      <c r="AC89" s="48" t="str">
        <f t="shared" si="1564"/>
        <v>NO</v>
      </c>
      <c r="AD89" s="48" t="str">
        <f t="shared" si="1564"/>
        <v>NO</v>
      </c>
      <c r="AE89" s="48" t="str">
        <f t="shared" si="1564"/>
        <v>NO</v>
      </c>
      <c r="AF89" s="48" t="str">
        <f t="shared" si="1564"/>
        <v>NO</v>
      </c>
      <c r="AG89" s="48" t="str">
        <f t="shared" si="1564"/>
        <v>NO</v>
      </c>
      <c r="AH89" s="48" t="str">
        <f t="shared" si="1564"/>
        <v>NO</v>
      </c>
      <c r="AI89" s="48" t="str">
        <f t="shared" si="1564"/>
        <v>NO</v>
      </c>
      <c r="AJ89" s="48" t="str">
        <f t="shared" si="1564"/>
        <v>NO</v>
      </c>
      <c r="AK89" s="48" t="str">
        <f t="shared" si="1564"/>
        <v>NO</v>
      </c>
      <c r="AL89" s="1" t="s">
        <v>188</v>
      </c>
      <c r="AO89" s="48" t="str">
        <f>IF(AO87="YES",IF(AO86="Charge","YES","NO"),"NO")</f>
        <v>NO</v>
      </c>
      <c r="AP89" s="48" t="str">
        <f t="shared" ref="AP89:BK89" si="1565">IF(AP87="YES",IF(AP86="Charge","YES","NO"),"NO")</f>
        <v>NO</v>
      </c>
      <c r="AQ89" s="48" t="str">
        <f t="shared" si="1565"/>
        <v>NO</v>
      </c>
      <c r="AR89" s="48" t="str">
        <f t="shared" si="1565"/>
        <v>NO</v>
      </c>
      <c r="AS89" s="48" t="str">
        <f t="shared" si="1565"/>
        <v>NO</v>
      </c>
      <c r="AT89" s="48" t="str">
        <f t="shared" si="1565"/>
        <v>NO</v>
      </c>
      <c r="AU89" s="48" t="str">
        <f t="shared" si="1565"/>
        <v>NO</v>
      </c>
      <c r="AV89" s="48" t="str">
        <f t="shared" si="1565"/>
        <v>NO</v>
      </c>
      <c r="AW89" s="48" t="str">
        <f t="shared" si="1565"/>
        <v>NO</v>
      </c>
      <c r="AX89" s="48" t="str">
        <f t="shared" si="1565"/>
        <v>NO</v>
      </c>
      <c r="AY89" s="48" t="str">
        <f t="shared" si="1565"/>
        <v>NO</v>
      </c>
      <c r="AZ89" s="48" t="str">
        <f t="shared" si="1565"/>
        <v>NO</v>
      </c>
      <c r="BA89" s="48" t="str">
        <f t="shared" si="1565"/>
        <v>NO</v>
      </c>
      <c r="BB89" s="48" t="str">
        <f t="shared" si="1565"/>
        <v>NO</v>
      </c>
      <c r="BC89" s="48" t="str">
        <f t="shared" si="1565"/>
        <v>NO</v>
      </c>
      <c r="BD89" s="48" t="str">
        <f t="shared" si="1565"/>
        <v>NO</v>
      </c>
      <c r="BE89" s="48" t="str">
        <f t="shared" si="1565"/>
        <v>NO</v>
      </c>
      <c r="BF89" s="48" t="str">
        <f t="shared" si="1565"/>
        <v>NO</v>
      </c>
      <c r="BG89" s="48" t="str">
        <f t="shared" si="1565"/>
        <v>NO</v>
      </c>
      <c r="BH89" s="48" t="str">
        <f t="shared" si="1565"/>
        <v>NO</v>
      </c>
      <c r="BI89" s="48" t="str">
        <f t="shared" si="1565"/>
        <v>NO</v>
      </c>
      <c r="BJ89" s="48" t="str">
        <f t="shared" si="1565"/>
        <v>NO</v>
      </c>
      <c r="BK89" s="48" t="str">
        <f t="shared" si="1565"/>
        <v>NO</v>
      </c>
      <c r="BL89" s="1" t="s">
        <v>188</v>
      </c>
      <c r="BO89" s="48" t="str">
        <f>IF(BO87="YES",IF(BO86="Charge","YES","NO"),"NO")</f>
        <v>NO</v>
      </c>
      <c r="BP89" s="48" t="str">
        <f t="shared" ref="BP89:CK89" si="1566">IF(BP87="YES",IF(BP86="Charge","YES","NO"),"NO")</f>
        <v>NO</v>
      </c>
      <c r="BQ89" s="48" t="str">
        <f t="shared" si="1566"/>
        <v>NO</v>
      </c>
      <c r="BR89" s="48" t="str">
        <f t="shared" si="1566"/>
        <v>NO</v>
      </c>
      <c r="BS89" s="48" t="str">
        <f t="shared" si="1566"/>
        <v>NO</v>
      </c>
      <c r="BT89" s="48" t="str">
        <f t="shared" si="1566"/>
        <v>NO</v>
      </c>
      <c r="BU89" s="48" t="str">
        <f t="shared" si="1566"/>
        <v>NO</v>
      </c>
      <c r="BV89" s="48" t="str">
        <f t="shared" si="1566"/>
        <v>NO</v>
      </c>
      <c r="BW89" s="48" t="str">
        <f t="shared" si="1566"/>
        <v>NO</v>
      </c>
      <c r="BX89" s="48" t="str">
        <f t="shared" si="1566"/>
        <v>NO</v>
      </c>
      <c r="BY89" s="48" t="str">
        <f t="shared" si="1566"/>
        <v>NO</v>
      </c>
      <c r="BZ89" s="48" t="str">
        <f t="shared" si="1566"/>
        <v>NO</v>
      </c>
      <c r="CA89" s="48" t="str">
        <f t="shared" si="1566"/>
        <v>NO</v>
      </c>
      <c r="CB89" s="48" t="str">
        <f t="shared" si="1566"/>
        <v>NO</v>
      </c>
      <c r="CC89" s="48" t="str">
        <f t="shared" si="1566"/>
        <v>NO</v>
      </c>
      <c r="CD89" s="48" t="str">
        <f t="shared" si="1566"/>
        <v>NO</v>
      </c>
      <c r="CE89" s="48" t="str">
        <f t="shared" si="1566"/>
        <v>NO</v>
      </c>
      <c r="CF89" s="48" t="str">
        <f t="shared" si="1566"/>
        <v>NO</v>
      </c>
      <c r="CG89" s="48" t="str">
        <f t="shared" si="1566"/>
        <v>NO</v>
      </c>
      <c r="CH89" s="48" t="str">
        <f t="shared" si="1566"/>
        <v>NO</v>
      </c>
      <c r="CI89" s="48" t="str">
        <f t="shared" si="1566"/>
        <v>NO</v>
      </c>
      <c r="CJ89" s="48" t="str">
        <f t="shared" si="1566"/>
        <v>NO</v>
      </c>
      <c r="CK89" s="48" t="str">
        <f t="shared" si="1566"/>
        <v>NO</v>
      </c>
      <c r="CL89" s="1" t="s">
        <v>188</v>
      </c>
      <c r="CO89" s="48" t="str">
        <f>IF(CO87="YES",IF(CO86="Charge","YES","NO"),"NO")</f>
        <v>NO</v>
      </c>
      <c r="CP89" s="48" t="str">
        <f t="shared" ref="CP89:DK89" si="1567">IF(CP87="YES",IF(CP86="Charge","YES","NO"),"NO")</f>
        <v>NO</v>
      </c>
      <c r="CQ89" s="48" t="str">
        <f t="shared" si="1567"/>
        <v>NO</v>
      </c>
      <c r="CR89" s="48" t="str">
        <f t="shared" si="1567"/>
        <v>NO</v>
      </c>
      <c r="CS89" s="48" t="str">
        <f t="shared" si="1567"/>
        <v>NO</v>
      </c>
      <c r="CT89" s="48" t="str">
        <f t="shared" si="1567"/>
        <v>NO</v>
      </c>
      <c r="CU89" s="48" t="str">
        <f t="shared" si="1567"/>
        <v>NO</v>
      </c>
      <c r="CV89" s="48" t="str">
        <f t="shared" si="1567"/>
        <v>NO</v>
      </c>
      <c r="CW89" s="48" t="str">
        <f t="shared" si="1567"/>
        <v>NO</v>
      </c>
      <c r="CX89" s="48" t="str">
        <f t="shared" si="1567"/>
        <v>NO</v>
      </c>
      <c r="CY89" s="48" t="str">
        <f t="shared" si="1567"/>
        <v>NO</v>
      </c>
      <c r="CZ89" s="48" t="str">
        <f t="shared" si="1567"/>
        <v>NO</v>
      </c>
      <c r="DA89" s="48" t="str">
        <f t="shared" si="1567"/>
        <v>NO</v>
      </c>
      <c r="DB89" s="48" t="str">
        <f t="shared" si="1567"/>
        <v>NO</v>
      </c>
      <c r="DC89" s="48" t="str">
        <f t="shared" si="1567"/>
        <v>NO</v>
      </c>
      <c r="DD89" s="48" t="str">
        <f t="shared" si="1567"/>
        <v>NO</v>
      </c>
      <c r="DE89" s="48" t="str">
        <f t="shared" si="1567"/>
        <v>NO</v>
      </c>
      <c r="DF89" s="48" t="str">
        <f t="shared" si="1567"/>
        <v>NO</v>
      </c>
      <c r="DG89" s="48" t="str">
        <f t="shared" si="1567"/>
        <v>NO</v>
      </c>
      <c r="DH89" s="48" t="str">
        <f t="shared" si="1567"/>
        <v>NO</v>
      </c>
      <c r="DI89" s="48" t="str">
        <f t="shared" si="1567"/>
        <v>NO</v>
      </c>
      <c r="DJ89" s="48" t="str">
        <f t="shared" si="1567"/>
        <v>NO</v>
      </c>
      <c r="DK89" s="48" t="str">
        <f t="shared" si="1567"/>
        <v>NO</v>
      </c>
      <c r="DL89" s="1" t="s">
        <v>188</v>
      </c>
      <c r="DO89" s="48" t="str">
        <f>IF(DO87="YES",IF(DO86="Charge","YES","NO"),"NO")</f>
        <v>NO</v>
      </c>
      <c r="DP89" s="48" t="str">
        <f t="shared" ref="DP89:EK89" si="1568">IF(DP87="YES",IF(DP86="Charge","YES","NO"),"NO")</f>
        <v>NO</v>
      </c>
      <c r="DQ89" s="48" t="str">
        <f t="shared" si="1568"/>
        <v>NO</v>
      </c>
      <c r="DR89" s="48" t="str">
        <f t="shared" si="1568"/>
        <v>NO</v>
      </c>
      <c r="DS89" s="48" t="str">
        <f t="shared" si="1568"/>
        <v>NO</v>
      </c>
      <c r="DT89" s="48" t="str">
        <f t="shared" si="1568"/>
        <v>NO</v>
      </c>
      <c r="DU89" s="48" t="str">
        <f t="shared" si="1568"/>
        <v>NO</v>
      </c>
      <c r="DV89" s="48" t="str">
        <f t="shared" si="1568"/>
        <v>NO</v>
      </c>
      <c r="DW89" s="48" t="str">
        <f t="shared" si="1568"/>
        <v>NO</v>
      </c>
      <c r="DX89" s="48" t="str">
        <f t="shared" si="1568"/>
        <v>NO</v>
      </c>
      <c r="DY89" s="48" t="str">
        <f t="shared" si="1568"/>
        <v>NO</v>
      </c>
      <c r="DZ89" s="48" t="str">
        <f t="shared" si="1568"/>
        <v>NO</v>
      </c>
      <c r="EA89" s="48" t="str">
        <f t="shared" si="1568"/>
        <v>NO</v>
      </c>
      <c r="EB89" s="48" t="str">
        <f t="shared" si="1568"/>
        <v>NO</v>
      </c>
      <c r="EC89" s="48" t="str">
        <f t="shared" si="1568"/>
        <v>NO</v>
      </c>
      <c r="ED89" s="48" t="str">
        <f t="shared" si="1568"/>
        <v>NO</v>
      </c>
      <c r="EE89" s="48" t="str">
        <f t="shared" si="1568"/>
        <v>NO</v>
      </c>
      <c r="EF89" s="48" t="str">
        <f t="shared" si="1568"/>
        <v>NO</v>
      </c>
      <c r="EG89" s="48" t="str">
        <f t="shared" si="1568"/>
        <v>NO</v>
      </c>
      <c r="EH89" s="48" t="str">
        <f t="shared" si="1568"/>
        <v>NO</v>
      </c>
      <c r="EI89" s="48" t="str">
        <f t="shared" si="1568"/>
        <v>NO</v>
      </c>
      <c r="EJ89" s="48" t="str">
        <f t="shared" si="1568"/>
        <v>NO</v>
      </c>
      <c r="EK89" s="48" t="str">
        <f t="shared" si="1568"/>
        <v>NO</v>
      </c>
      <c r="EL89" s="1" t="s">
        <v>188</v>
      </c>
      <c r="EO89" s="48" t="str">
        <f>IF(EO87="YES",IF(EO86="Charge","YES","NO"),"NO")</f>
        <v>YES</v>
      </c>
      <c r="EP89" s="48" t="str">
        <f t="shared" ref="EP89:FK89" si="1569">IF(EP87="YES",IF(EP86="Charge","YES","NO"),"NO")</f>
        <v>NO</v>
      </c>
      <c r="EQ89" s="48" t="str">
        <f t="shared" si="1569"/>
        <v>NO</v>
      </c>
      <c r="ER89" s="48" t="str">
        <f t="shared" si="1569"/>
        <v>NO</v>
      </c>
      <c r="ES89" s="48" t="str">
        <f t="shared" si="1569"/>
        <v>NO</v>
      </c>
      <c r="ET89" s="48" t="str">
        <f t="shared" si="1569"/>
        <v>NO</v>
      </c>
      <c r="EU89" s="48" t="str">
        <f t="shared" si="1569"/>
        <v>NO</v>
      </c>
      <c r="EV89" s="48" t="str">
        <f t="shared" si="1569"/>
        <v>NO</v>
      </c>
      <c r="EW89" s="48" t="str">
        <f t="shared" si="1569"/>
        <v>NO</v>
      </c>
      <c r="EX89" s="48" t="str">
        <f t="shared" si="1569"/>
        <v>YES</v>
      </c>
      <c r="EY89" s="48" t="str">
        <f t="shared" si="1569"/>
        <v>NO</v>
      </c>
      <c r="EZ89" s="48" t="str">
        <f t="shared" si="1569"/>
        <v>NO</v>
      </c>
      <c r="FA89" s="48" t="str">
        <f t="shared" si="1569"/>
        <v>NO</v>
      </c>
      <c r="FB89" s="48" t="str">
        <f t="shared" si="1569"/>
        <v>NO</v>
      </c>
      <c r="FC89" s="48" t="str">
        <f t="shared" si="1569"/>
        <v>NO</v>
      </c>
      <c r="FD89" s="48" t="str">
        <f t="shared" si="1569"/>
        <v>NO</v>
      </c>
      <c r="FE89" s="48" t="str">
        <f t="shared" si="1569"/>
        <v>NO</v>
      </c>
      <c r="FF89" s="48" t="str">
        <f t="shared" si="1569"/>
        <v>NO</v>
      </c>
      <c r="FG89" s="48" t="str">
        <f t="shared" si="1569"/>
        <v>YES</v>
      </c>
      <c r="FH89" s="48" t="str">
        <f t="shared" si="1569"/>
        <v>NO</v>
      </c>
      <c r="FI89" s="48" t="str">
        <f t="shared" si="1569"/>
        <v>NO</v>
      </c>
      <c r="FJ89" s="48" t="str">
        <f t="shared" si="1569"/>
        <v>NO</v>
      </c>
      <c r="FK89" s="48" t="str">
        <f t="shared" si="1569"/>
        <v>NO</v>
      </c>
    </row>
    <row r="90" spans="2:167" s="36" customFormat="1" ht="15.75" x14ac:dyDescent="0.25">
      <c r="B90" s="132" t="s">
        <v>256</v>
      </c>
      <c r="C90" s="133"/>
      <c r="D90" s="133"/>
      <c r="E90" s="133"/>
      <c r="F90" s="133"/>
      <c r="G90" s="133"/>
      <c r="H90" s="133"/>
      <c r="I90" s="133"/>
      <c r="J90" s="134"/>
      <c r="N90" s="65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L90" s="35"/>
      <c r="BL90" s="35"/>
      <c r="CL90" s="35"/>
      <c r="DL90" s="35"/>
      <c r="EL90" s="35"/>
    </row>
    <row r="91" spans="2:167" x14ac:dyDescent="0.25">
      <c r="B91" s="58" t="s">
        <v>13</v>
      </c>
      <c r="C91" s="59"/>
      <c r="D91" s="59"/>
      <c r="E91" s="59"/>
      <c r="F91" s="59"/>
      <c r="G91" s="59"/>
      <c r="H91" s="59"/>
      <c r="I91" s="59"/>
      <c r="J91" s="60"/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8"/>
      <c r="AC91" s="28"/>
      <c r="AQ91" s="2" t="s">
        <v>67</v>
      </c>
      <c r="AV91" s="2" t="s">
        <v>100</v>
      </c>
      <c r="BQ91" s="2" t="s">
        <v>67</v>
      </c>
      <c r="BV91" s="2" t="s">
        <v>100</v>
      </c>
      <c r="CQ91" s="2" t="s">
        <v>67</v>
      </c>
      <c r="CV91" s="2" t="s">
        <v>100</v>
      </c>
      <c r="DQ91" s="2" t="s">
        <v>67</v>
      </c>
      <c r="DV91" s="2" t="s">
        <v>100</v>
      </c>
      <c r="EM91" s="1" t="s">
        <v>179</v>
      </c>
      <c r="EV91" s="2" t="s">
        <v>100</v>
      </c>
    </row>
    <row r="92" spans="2:167" x14ac:dyDescent="0.25">
      <c r="B92" s="54" t="s">
        <v>127</v>
      </c>
      <c r="G92" s="2" t="s">
        <v>22</v>
      </c>
      <c r="J92" s="38"/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1" t="s">
        <v>246</v>
      </c>
      <c r="AC92" s="1" t="s">
        <v>247</v>
      </c>
      <c r="AQ92" s="1" t="s">
        <v>107</v>
      </c>
      <c r="AS92" s="1" t="s">
        <v>14</v>
      </c>
      <c r="AT92" s="49">
        <f>SUM(AN108:BK108)</f>
        <v>86.993999999999986</v>
      </c>
      <c r="AV92" s="1" t="s">
        <v>145</v>
      </c>
      <c r="AX92" s="1" t="s">
        <v>40</v>
      </c>
      <c r="AY92" s="49">
        <f>SUM(AN109:BK109)</f>
        <v>288.00000000000006</v>
      </c>
      <c r="BA92" s="1" t="s">
        <v>172</v>
      </c>
      <c r="BB92" s="1">
        <v>2</v>
      </c>
      <c r="BQ92" s="1" t="s">
        <v>107</v>
      </c>
      <c r="BS92" s="1" t="s">
        <v>14</v>
      </c>
      <c r="BT92" s="49">
        <f>SUM(BN108:CK108)</f>
        <v>86.993999999999986</v>
      </c>
      <c r="BV92" s="1" t="s">
        <v>145</v>
      </c>
      <c r="BX92" s="1" t="s">
        <v>40</v>
      </c>
      <c r="BY92" s="49">
        <f>SUM(BN109:CK109)</f>
        <v>288.00000000000006</v>
      </c>
      <c r="CA92" s="1" t="s">
        <v>172</v>
      </c>
      <c r="CB92" s="1">
        <v>3</v>
      </c>
      <c r="CQ92" s="1" t="s">
        <v>107</v>
      </c>
      <c r="CS92" s="1" t="s">
        <v>14</v>
      </c>
      <c r="CT92" s="49">
        <f>SUM(CN108:DK108)</f>
        <v>86.993999999999986</v>
      </c>
      <c r="CV92" s="1" t="s">
        <v>145</v>
      </c>
      <c r="CX92" s="1" t="s">
        <v>40</v>
      </c>
      <c r="CY92" s="49">
        <f>SUM(CN109:DK109)</f>
        <v>288.00000000000006</v>
      </c>
      <c r="DA92" s="1" t="s">
        <v>172</v>
      </c>
      <c r="DB92" s="1">
        <v>4</v>
      </c>
      <c r="DQ92" s="1" t="s">
        <v>107</v>
      </c>
      <c r="DS92" s="1" t="s">
        <v>14</v>
      </c>
      <c r="DT92" s="49">
        <f>SUM(DN108:EK108)</f>
        <v>86.993999999999986</v>
      </c>
      <c r="DV92" s="1" t="s">
        <v>145</v>
      </c>
      <c r="DX92" s="1" t="s">
        <v>40</v>
      </c>
      <c r="DY92" s="49">
        <f>SUM(DN109:EK109)</f>
        <v>288.00000000000006</v>
      </c>
      <c r="EA92" s="1" t="s">
        <v>172</v>
      </c>
      <c r="EB92" s="1">
        <v>5</v>
      </c>
      <c r="EM92" s="1" t="s">
        <v>180</v>
      </c>
      <c r="EV92" s="1" t="s">
        <v>145</v>
      </c>
      <c r="EX92" s="1" t="s">
        <v>40</v>
      </c>
      <c r="EY92" s="49">
        <f>SUM(EN109:FK109)</f>
        <v>288.00000000000006</v>
      </c>
    </row>
    <row r="93" spans="2:167" x14ac:dyDescent="0.25">
      <c r="B93" s="37" t="s">
        <v>1</v>
      </c>
      <c r="D93" s="1" t="s">
        <v>14</v>
      </c>
      <c r="E93" s="10">
        <v>324</v>
      </c>
      <c r="G93" s="1" t="s">
        <v>23</v>
      </c>
      <c r="I93" s="1" t="s">
        <v>18</v>
      </c>
      <c r="J93" s="13">
        <f>0.75*J94</f>
        <v>243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48"/>
      <c r="AC93" s="1" t="s">
        <v>248</v>
      </c>
      <c r="AQ93" s="1" t="s">
        <v>108</v>
      </c>
      <c r="AS93" s="1" t="s">
        <v>14</v>
      </c>
      <c r="AT93" s="29">
        <f>AT92*365</f>
        <v>31752.809999999994</v>
      </c>
      <c r="AV93" s="1" t="s">
        <v>111</v>
      </c>
      <c r="AX93" s="1" t="s">
        <v>40</v>
      </c>
      <c r="AY93" s="49">
        <f>SUM(AV110:BI110)</f>
        <v>403.2000000000001</v>
      </c>
      <c r="BQ93" s="1" t="s">
        <v>108</v>
      </c>
      <c r="BS93" s="1" t="s">
        <v>14</v>
      </c>
      <c r="BT93" s="29">
        <f>BT92*365</f>
        <v>31752.809999999994</v>
      </c>
      <c r="BV93" s="1" t="s">
        <v>111</v>
      </c>
      <c r="BX93" s="1" t="s">
        <v>40</v>
      </c>
      <c r="BY93" s="49">
        <f>SUM(BV110:CI110)</f>
        <v>403.2000000000001</v>
      </c>
      <c r="CQ93" s="1" t="s">
        <v>108</v>
      </c>
      <c r="CS93" s="1" t="s">
        <v>14</v>
      </c>
      <c r="CT93" s="29">
        <f>CT92*365</f>
        <v>31752.809999999994</v>
      </c>
      <c r="CV93" s="1" t="s">
        <v>111</v>
      </c>
      <c r="CX93" s="1" t="s">
        <v>40</v>
      </c>
      <c r="CY93" s="49">
        <f>SUM(CV110:DI110)</f>
        <v>403.2000000000001</v>
      </c>
      <c r="DQ93" s="1" t="s">
        <v>108</v>
      </c>
      <c r="DS93" s="1" t="s">
        <v>14</v>
      </c>
      <c r="DT93" s="29">
        <f>DT92*365</f>
        <v>31752.809999999994</v>
      </c>
      <c r="DV93" s="1" t="s">
        <v>111</v>
      </c>
      <c r="DX93" s="1" t="s">
        <v>40</v>
      </c>
      <c r="DY93" s="49">
        <f>SUM(DV110:EI110)</f>
        <v>403.2000000000001</v>
      </c>
      <c r="EV93" s="1" t="s">
        <v>111</v>
      </c>
      <c r="EX93" s="1" t="s">
        <v>40</v>
      </c>
      <c r="EY93" s="49">
        <f>SUM(EV110:FI110)</f>
        <v>403.2000000000001</v>
      </c>
    </row>
    <row r="94" spans="2:167" x14ac:dyDescent="0.25">
      <c r="B94" s="37" t="s">
        <v>129</v>
      </c>
      <c r="D94" s="1" t="s">
        <v>130</v>
      </c>
      <c r="E94" s="57">
        <f>E105/E93</f>
        <v>0.55555555555555558</v>
      </c>
      <c r="G94" s="1" t="s">
        <v>24</v>
      </c>
      <c r="I94" s="1" t="s">
        <v>18</v>
      </c>
      <c r="J94" s="13">
        <f>E93</f>
        <v>324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V94" s="1" t="s">
        <v>102</v>
      </c>
      <c r="AX94" s="1" t="s">
        <v>40</v>
      </c>
      <c r="AY94" s="49">
        <f>SUM(AY92:AY93)</f>
        <v>691.20000000000016</v>
      </c>
      <c r="BV94" s="1" t="s">
        <v>102</v>
      </c>
      <c r="BX94" s="1" t="s">
        <v>40</v>
      </c>
      <c r="BY94" s="49">
        <f>SUM(BY92:BY93)</f>
        <v>691.20000000000016</v>
      </c>
      <c r="CV94" s="1" t="s">
        <v>102</v>
      </c>
      <c r="CX94" s="1" t="s">
        <v>40</v>
      </c>
      <c r="CY94" s="49">
        <f>SUM(CY92:CY93)</f>
        <v>691.20000000000016</v>
      </c>
      <c r="DV94" s="1" t="s">
        <v>102</v>
      </c>
      <c r="DX94" s="1" t="s">
        <v>40</v>
      </c>
      <c r="DY94" s="49">
        <f>SUM(DY92:DY93)</f>
        <v>691.20000000000016</v>
      </c>
      <c r="EV94" s="1" t="s">
        <v>102</v>
      </c>
      <c r="EX94" s="1" t="s">
        <v>40</v>
      </c>
      <c r="EY94" s="49">
        <f>SUM(EY92:EY93)</f>
        <v>691.20000000000016</v>
      </c>
    </row>
    <row r="95" spans="2:167" x14ac:dyDescent="0.25">
      <c r="B95" s="37" t="s">
        <v>131</v>
      </c>
      <c r="D95" s="1" t="s">
        <v>18</v>
      </c>
      <c r="E95" s="57">
        <f t="shared" ref="E95:E100" si="1570">E60</f>
        <v>180</v>
      </c>
      <c r="J95" s="38"/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</row>
    <row r="96" spans="2:167" x14ac:dyDescent="0.25">
      <c r="B96" s="84" t="s">
        <v>144</v>
      </c>
      <c r="C96" s="61"/>
      <c r="D96" s="28" t="s">
        <v>6</v>
      </c>
      <c r="E96" s="15">
        <f t="shared" si="1570"/>
        <v>0.9</v>
      </c>
      <c r="G96" s="2" t="s">
        <v>100</v>
      </c>
      <c r="J96" s="40"/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8"/>
      <c r="AV96" s="2" t="s">
        <v>36</v>
      </c>
      <c r="BV96" s="2" t="s">
        <v>36</v>
      </c>
      <c r="CV96" s="2" t="s">
        <v>36</v>
      </c>
      <c r="DV96" s="2" t="s">
        <v>36</v>
      </c>
      <c r="EV96" s="2" t="s">
        <v>36</v>
      </c>
    </row>
    <row r="97" spans="2:167" x14ac:dyDescent="0.25">
      <c r="B97" s="37" t="s">
        <v>158</v>
      </c>
      <c r="D97" s="1" t="s">
        <v>6</v>
      </c>
      <c r="E97" s="15">
        <f t="shared" si="1570"/>
        <v>0.9</v>
      </c>
      <c r="G97" s="1" t="s">
        <v>145</v>
      </c>
      <c r="I97" s="1" t="s">
        <v>40</v>
      </c>
      <c r="J97" s="49">
        <f>SUM(N109:AK109)</f>
        <v>288.00000000000006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8"/>
      <c r="AV97" s="1" t="s">
        <v>29</v>
      </c>
      <c r="AX97" s="1" t="s">
        <v>27</v>
      </c>
      <c r="AY97" s="13">
        <f>$R$13+$R$14*(BB92-1)</f>
        <v>19</v>
      </c>
      <c r="BV97" s="1" t="s">
        <v>29</v>
      </c>
      <c r="BX97" s="1" t="s">
        <v>27</v>
      </c>
      <c r="BY97" s="13">
        <f>$R$13+$R$14*(CB92-1)</f>
        <v>21</v>
      </c>
      <c r="CV97" s="1" t="s">
        <v>29</v>
      </c>
      <c r="CX97" s="1" t="s">
        <v>27</v>
      </c>
      <c r="CY97" s="13">
        <f>$R$13+$R$14*(DB92-1)</f>
        <v>23</v>
      </c>
      <c r="DV97" s="1" t="s">
        <v>29</v>
      </c>
      <c r="DX97" s="1" t="s">
        <v>27</v>
      </c>
      <c r="DY97" s="13">
        <f>$R$13+$R$14*(EB92-1)</f>
        <v>25</v>
      </c>
      <c r="EV97" s="1" t="s">
        <v>29</v>
      </c>
      <c r="EX97" s="1" t="s">
        <v>27</v>
      </c>
      <c r="EY97" s="13">
        <f>FK$14</f>
        <v>23</v>
      </c>
    </row>
    <row r="98" spans="2:167" x14ac:dyDescent="0.25">
      <c r="B98" s="37" t="s">
        <v>159</v>
      </c>
      <c r="D98" s="1" t="s">
        <v>6</v>
      </c>
      <c r="E98" s="15">
        <f t="shared" si="1570"/>
        <v>0.1</v>
      </c>
      <c r="G98" s="1" t="s">
        <v>111</v>
      </c>
      <c r="I98" s="1" t="s">
        <v>40</v>
      </c>
      <c r="J98" s="49">
        <f>SUM(V110:AI110)</f>
        <v>403.2000000000001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8"/>
      <c r="AV98" s="1" t="s">
        <v>28</v>
      </c>
      <c r="AX98" s="1" t="s">
        <v>30</v>
      </c>
      <c r="AY98" s="13">
        <f>AY97*365</f>
        <v>6935</v>
      </c>
      <c r="BV98" s="1" t="s">
        <v>28</v>
      </c>
      <c r="BX98" s="1" t="s">
        <v>30</v>
      </c>
      <c r="BY98" s="13">
        <f>BY97*365</f>
        <v>7665</v>
      </c>
      <c r="CV98" s="1" t="s">
        <v>28</v>
      </c>
      <c r="CX98" s="1" t="s">
        <v>30</v>
      </c>
      <c r="CY98" s="13">
        <f>CY97*365</f>
        <v>8395</v>
      </c>
      <c r="DV98" s="1" t="s">
        <v>28</v>
      </c>
      <c r="DX98" s="1" t="s">
        <v>30</v>
      </c>
      <c r="DY98" s="13">
        <f>DY97*365</f>
        <v>9125</v>
      </c>
      <c r="EV98" s="1" t="s">
        <v>28</v>
      </c>
      <c r="EX98" s="1" t="s">
        <v>30</v>
      </c>
      <c r="EY98" s="13">
        <f>EY97*365</f>
        <v>8395</v>
      </c>
    </row>
    <row r="99" spans="2:167" x14ac:dyDescent="0.25">
      <c r="B99" s="37" t="s">
        <v>160</v>
      </c>
      <c r="D99" s="1" t="s">
        <v>6</v>
      </c>
      <c r="E99" s="15">
        <f t="shared" si="1570"/>
        <v>0.8</v>
      </c>
      <c r="G99" s="1" t="s">
        <v>102</v>
      </c>
      <c r="I99" s="1" t="s">
        <v>40</v>
      </c>
      <c r="J99" s="49">
        <f>SUM(J97:J98)</f>
        <v>691.20000000000016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V99" s="1" t="s">
        <v>141</v>
      </c>
      <c r="AX99" s="1" t="s">
        <v>44</v>
      </c>
      <c r="AY99" s="13">
        <f>COUNTIF(AO124:BK124,"YES")</f>
        <v>0</v>
      </c>
      <c r="BV99" s="1" t="s">
        <v>141</v>
      </c>
      <c r="BX99" s="1" t="s">
        <v>44</v>
      </c>
      <c r="BY99" s="13">
        <f>COUNTIF(BO124:CK124,"YES")</f>
        <v>0</v>
      </c>
      <c r="CV99" s="1" t="s">
        <v>141</v>
      </c>
      <c r="CX99" s="1" t="s">
        <v>44</v>
      </c>
      <c r="CY99" s="13">
        <f>COUNTIF(CO124:DK124,"YES")</f>
        <v>0</v>
      </c>
      <c r="DV99" s="1" t="s">
        <v>141</v>
      </c>
      <c r="DX99" s="1" t="s">
        <v>44</v>
      </c>
      <c r="DY99" s="13">
        <f>COUNTIF(DO124:EK124,"YES")</f>
        <v>0</v>
      </c>
      <c r="EV99" s="1" t="s">
        <v>141</v>
      </c>
      <c r="EX99" s="1" t="s">
        <v>44</v>
      </c>
      <c r="EY99" s="13">
        <f>COUNTIF(EO124:FK124,"YES")</f>
        <v>3</v>
      </c>
    </row>
    <row r="100" spans="2:167" x14ac:dyDescent="0.25">
      <c r="B100" s="37" t="s">
        <v>161</v>
      </c>
      <c r="D100" s="1" t="s">
        <v>6</v>
      </c>
      <c r="E100" s="15">
        <f t="shared" si="1570"/>
        <v>0.8</v>
      </c>
      <c r="G100" s="1" t="s">
        <v>128</v>
      </c>
      <c r="I100" s="1" t="s">
        <v>18</v>
      </c>
      <c r="J100" s="49">
        <f>J65</f>
        <v>28.8</v>
      </c>
      <c r="AV100" s="1" t="s">
        <v>142</v>
      </c>
      <c r="AX100" s="1" t="s">
        <v>27</v>
      </c>
      <c r="AY100" s="13">
        <f>COUNTIFS(AO122:BK122,"YES",AO124:BK124,"NO")</f>
        <v>19</v>
      </c>
      <c r="BV100" s="1" t="s">
        <v>142</v>
      </c>
      <c r="BX100" s="1" t="s">
        <v>27</v>
      </c>
      <c r="BY100" s="13">
        <f>COUNTIFS(BO122:CK122,"YES",BO124:CK124,"NO")</f>
        <v>18</v>
      </c>
      <c r="CV100" s="1" t="s">
        <v>142</v>
      </c>
      <c r="CX100" s="1" t="s">
        <v>27</v>
      </c>
      <c r="CY100" s="13">
        <f>COUNTIFS(CO122:DK122,"YES",CO124:DK124,"NO")</f>
        <v>20</v>
      </c>
      <c r="DV100" s="1" t="s">
        <v>142</v>
      </c>
      <c r="DX100" s="1" t="s">
        <v>27</v>
      </c>
      <c r="DY100" s="13">
        <f>COUNTIFS(DO122:EK122,"YES",DO124:EK124,"NO")</f>
        <v>20</v>
      </c>
      <c r="EV100" s="1" t="s">
        <v>142</v>
      </c>
      <c r="EX100" s="1" t="s">
        <v>27</v>
      </c>
      <c r="EY100" s="13">
        <f>EY97-EY99</f>
        <v>20</v>
      </c>
    </row>
    <row r="101" spans="2:167" x14ac:dyDescent="0.25">
      <c r="B101" s="37" t="s">
        <v>163</v>
      </c>
      <c r="D101" s="1" t="s">
        <v>164</v>
      </c>
      <c r="E101" s="10">
        <f>2800+(1-E94^2)*350</f>
        <v>3041.9753086419751</v>
      </c>
      <c r="J101" s="38"/>
      <c r="AV101" s="1" t="s">
        <v>143</v>
      </c>
      <c r="AX101" s="1" t="s">
        <v>40</v>
      </c>
      <c r="AY101" s="13">
        <f>AY100*$J105</f>
        <v>615.60000000000014</v>
      </c>
      <c r="BV101" s="1" t="s">
        <v>143</v>
      </c>
      <c r="BX101" s="1" t="s">
        <v>40</v>
      </c>
      <c r="BY101" s="13">
        <f>BY100*$J105</f>
        <v>583.20000000000005</v>
      </c>
      <c r="CV101" s="1" t="s">
        <v>143</v>
      </c>
      <c r="CX101" s="1" t="s">
        <v>40</v>
      </c>
      <c r="CY101" s="13">
        <f>CY100*$J105</f>
        <v>648.00000000000011</v>
      </c>
      <c r="DV101" s="1" t="s">
        <v>143</v>
      </c>
      <c r="DX101" s="1" t="s">
        <v>40</v>
      </c>
      <c r="DY101" s="13">
        <f>DY100*$J105</f>
        <v>648.00000000000011</v>
      </c>
      <c r="EV101" s="1" t="s">
        <v>143</v>
      </c>
      <c r="EX101" s="1" t="s">
        <v>40</v>
      </c>
      <c r="EY101" s="13">
        <f>EY100*$J105</f>
        <v>648.00000000000011</v>
      </c>
    </row>
    <row r="102" spans="2:167" x14ac:dyDescent="0.25">
      <c r="B102" s="37"/>
      <c r="J102" s="38"/>
      <c r="EV102" s="1" t="s">
        <v>193</v>
      </c>
      <c r="EY102" s="112">
        <f>EY100/FK107</f>
        <v>0.83333333333333337</v>
      </c>
    </row>
    <row r="103" spans="2:167" x14ac:dyDescent="0.25">
      <c r="B103" s="62" t="s">
        <v>25</v>
      </c>
      <c r="C103" s="9"/>
      <c r="D103" s="9"/>
      <c r="E103" s="9"/>
      <c r="F103" s="9"/>
      <c r="G103" s="9"/>
      <c r="H103" s="9"/>
      <c r="I103" s="9"/>
      <c r="J103" s="63"/>
    </row>
    <row r="104" spans="2:167" x14ac:dyDescent="0.25">
      <c r="B104" s="54" t="s">
        <v>17</v>
      </c>
      <c r="G104" s="2" t="s">
        <v>26</v>
      </c>
      <c r="J104" s="38"/>
    </row>
    <row r="105" spans="2:167" x14ac:dyDescent="0.25">
      <c r="B105" s="64" t="s">
        <v>112</v>
      </c>
      <c r="D105" s="1" t="s">
        <v>18</v>
      </c>
      <c r="E105" s="10">
        <v>180</v>
      </c>
      <c r="G105" s="1" t="s">
        <v>38</v>
      </c>
      <c r="I105" s="1" t="s">
        <v>37</v>
      </c>
      <c r="J105" s="13">
        <f>E117*J115</f>
        <v>32.400000000000006</v>
      </c>
    </row>
    <row r="106" spans="2:167" ht="21" x14ac:dyDescent="0.35">
      <c r="B106" s="37" t="s">
        <v>113</v>
      </c>
      <c r="D106" s="1" t="s">
        <v>21</v>
      </c>
      <c r="E106" s="10">
        <v>1</v>
      </c>
      <c r="G106" s="1" t="s">
        <v>39</v>
      </c>
      <c r="I106" s="1" t="s">
        <v>40</v>
      </c>
      <c r="J106" s="13">
        <f>J105*E113</f>
        <v>550.80000000000007</v>
      </c>
      <c r="N106" s="131" t="s">
        <v>169</v>
      </c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N106" s="131" t="s">
        <v>170</v>
      </c>
      <c r="AO106" s="131"/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N106" s="131" t="s">
        <v>176</v>
      </c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1"/>
      <c r="BY106" s="131"/>
      <c r="BZ106" s="131"/>
      <c r="CA106" s="131"/>
      <c r="CB106" s="131"/>
      <c r="CC106" s="131"/>
      <c r="CD106" s="131"/>
      <c r="CE106" s="131"/>
      <c r="CF106" s="131"/>
      <c r="CG106" s="131"/>
      <c r="CH106" s="131"/>
      <c r="CI106" s="131"/>
      <c r="CJ106" s="131"/>
      <c r="CK106" s="131"/>
      <c r="CN106" s="131" t="s">
        <v>177</v>
      </c>
      <c r="CO106" s="131"/>
      <c r="CP106" s="131"/>
      <c r="CQ106" s="131"/>
      <c r="CR106" s="131"/>
      <c r="CS106" s="131"/>
      <c r="CT106" s="131"/>
      <c r="CU106" s="131"/>
      <c r="CV106" s="131"/>
      <c r="CW106" s="131"/>
      <c r="CX106" s="131"/>
      <c r="CY106" s="131"/>
      <c r="CZ106" s="131"/>
      <c r="DA106" s="131"/>
      <c r="DB106" s="131"/>
      <c r="DC106" s="131"/>
      <c r="DD106" s="131"/>
      <c r="DE106" s="131"/>
      <c r="DF106" s="131"/>
      <c r="DG106" s="131"/>
      <c r="DH106" s="131"/>
      <c r="DI106" s="131"/>
      <c r="DJ106" s="131"/>
      <c r="DK106" s="131"/>
      <c r="DN106" s="131" t="s">
        <v>178</v>
      </c>
      <c r="DO106" s="131"/>
      <c r="DP106" s="131"/>
      <c r="DQ106" s="131"/>
      <c r="DR106" s="131"/>
      <c r="DS106" s="131"/>
      <c r="DT106" s="131"/>
      <c r="DU106" s="131"/>
      <c r="DV106" s="131"/>
      <c r="DW106" s="131"/>
      <c r="DX106" s="131"/>
      <c r="DY106" s="131"/>
      <c r="DZ106" s="131"/>
      <c r="EA106" s="131"/>
      <c r="EB106" s="131"/>
      <c r="EC106" s="131"/>
      <c r="ED106" s="131"/>
      <c r="EE106" s="131"/>
      <c r="EF106" s="131"/>
      <c r="EG106" s="131"/>
      <c r="EH106" s="131"/>
      <c r="EI106" s="131"/>
      <c r="EJ106" s="131"/>
      <c r="EK106" s="131"/>
      <c r="EN106" s="131" t="s">
        <v>253</v>
      </c>
      <c r="EO106" s="131"/>
      <c r="EP106" s="131"/>
      <c r="EQ106" s="131"/>
      <c r="ER106" s="131"/>
      <c r="ES106" s="131"/>
      <c r="ET106" s="131"/>
      <c r="EU106" s="131"/>
      <c r="EV106" s="131"/>
      <c r="EW106" s="131"/>
      <c r="EX106" s="131"/>
      <c r="EY106" s="131"/>
      <c r="EZ106" s="131"/>
      <c r="FA106" s="131"/>
      <c r="FB106" s="131"/>
      <c r="FC106" s="131"/>
      <c r="FD106" s="131"/>
      <c r="FE106" s="131"/>
      <c r="FF106" s="131"/>
      <c r="FG106" s="131"/>
      <c r="FH106" s="131"/>
      <c r="FI106" s="131"/>
      <c r="FJ106" s="131"/>
      <c r="FK106" s="131"/>
    </row>
    <row r="107" spans="2:167" x14ac:dyDescent="0.25">
      <c r="B107" s="37" t="s">
        <v>116</v>
      </c>
      <c r="D107" s="1" t="s">
        <v>44</v>
      </c>
      <c r="E107" s="57">
        <f>E117*J115/E105</f>
        <v>0.18000000000000002</v>
      </c>
      <c r="G107" s="1" t="s">
        <v>74</v>
      </c>
      <c r="I107" s="1" t="s">
        <v>73</v>
      </c>
      <c r="J107" s="29">
        <f>J106*365</f>
        <v>201042.00000000003</v>
      </c>
      <c r="L107" s="9" t="s">
        <v>54</v>
      </c>
      <c r="M107" s="9"/>
      <c r="N107" s="9">
        <v>1</v>
      </c>
      <c r="O107" s="9">
        <v>2</v>
      </c>
      <c r="P107" s="9">
        <v>3</v>
      </c>
      <c r="Q107" s="9">
        <v>4</v>
      </c>
      <c r="R107" s="9">
        <v>5</v>
      </c>
      <c r="S107" s="9">
        <v>6</v>
      </c>
      <c r="T107" s="9">
        <v>7</v>
      </c>
      <c r="U107" s="9">
        <v>8</v>
      </c>
      <c r="V107" s="94">
        <v>9</v>
      </c>
      <c r="W107" s="94">
        <v>10</v>
      </c>
      <c r="X107" s="94">
        <v>11</v>
      </c>
      <c r="Y107" s="94">
        <v>12</v>
      </c>
      <c r="Z107" s="94">
        <v>13</v>
      </c>
      <c r="AA107" s="94">
        <v>14</v>
      </c>
      <c r="AB107" s="94">
        <v>15</v>
      </c>
      <c r="AC107" s="94">
        <v>16</v>
      </c>
      <c r="AD107" s="94">
        <v>17</v>
      </c>
      <c r="AE107" s="94">
        <v>18</v>
      </c>
      <c r="AF107" s="94">
        <v>19</v>
      </c>
      <c r="AG107" s="94">
        <v>20</v>
      </c>
      <c r="AH107" s="94">
        <v>21</v>
      </c>
      <c r="AI107" s="94">
        <v>22</v>
      </c>
      <c r="AJ107" s="9">
        <v>23</v>
      </c>
      <c r="AK107" s="9">
        <v>24</v>
      </c>
      <c r="AL107" s="9" t="s">
        <v>54</v>
      </c>
      <c r="AM107" s="9"/>
      <c r="AN107" s="9">
        <v>1</v>
      </c>
      <c r="AO107" s="9">
        <v>2</v>
      </c>
      <c r="AP107" s="9">
        <v>3</v>
      </c>
      <c r="AQ107" s="9">
        <v>4</v>
      </c>
      <c r="AR107" s="9">
        <v>5</v>
      </c>
      <c r="AS107" s="9">
        <v>6</v>
      </c>
      <c r="AT107" s="9">
        <v>7</v>
      </c>
      <c r="AU107" s="9">
        <v>8</v>
      </c>
      <c r="AV107" s="94">
        <v>9</v>
      </c>
      <c r="AW107" s="94">
        <v>10</v>
      </c>
      <c r="AX107" s="94">
        <v>11</v>
      </c>
      <c r="AY107" s="94">
        <v>12</v>
      </c>
      <c r="AZ107" s="94">
        <v>13</v>
      </c>
      <c r="BA107" s="94">
        <v>14</v>
      </c>
      <c r="BB107" s="94">
        <v>15</v>
      </c>
      <c r="BC107" s="94">
        <v>16</v>
      </c>
      <c r="BD107" s="94">
        <v>17</v>
      </c>
      <c r="BE107" s="94">
        <v>18</v>
      </c>
      <c r="BF107" s="94">
        <v>19</v>
      </c>
      <c r="BG107" s="94">
        <v>20</v>
      </c>
      <c r="BH107" s="94">
        <v>21</v>
      </c>
      <c r="BI107" s="94">
        <v>22</v>
      </c>
      <c r="BJ107" s="9">
        <v>23</v>
      </c>
      <c r="BK107" s="9">
        <v>24</v>
      </c>
      <c r="BL107" s="9" t="s">
        <v>54</v>
      </c>
      <c r="BM107" s="9"/>
      <c r="BN107" s="9">
        <v>1</v>
      </c>
      <c r="BO107" s="9">
        <v>2</v>
      </c>
      <c r="BP107" s="9">
        <v>3</v>
      </c>
      <c r="BQ107" s="9">
        <v>4</v>
      </c>
      <c r="BR107" s="9">
        <v>5</v>
      </c>
      <c r="BS107" s="9">
        <v>6</v>
      </c>
      <c r="BT107" s="9">
        <v>7</v>
      </c>
      <c r="BU107" s="9">
        <v>8</v>
      </c>
      <c r="BV107" s="94">
        <v>9</v>
      </c>
      <c r="BW107" s="94">
        <v>10</v>
      </c>
      <c r="BX107" s="94">
        <v>11</v>
      </c>
      <c r="BY107" s="94">
        <v>12</v>
      </c>
      <c r="BZ107" s="94">
        <v>13</v>
      </c>
      <c r="CA107" s="94">
        <v>14</v>
      </c>
      <c r="CB107" s="94">
        <v>15</v>
      </c>
      <c r="CC107" s="94">
        <v>16</v>
      </c>
      <c r="CD107" s="94">
        <v>17</v>
      </c>
      <c r="CE107" s="94">
        <v>18</v>
      </c>
      <c r="CF107" s="94">
        <v>19</v>
      </c>
      <c r="CG107" s="94">
        <v>20</v>
      </c>
      <c r="CH107" s="94">
        <v>21</v>
      </c>
      <c r="CI107" s="94">
        <v>22</v>
      </c>
      <c r="CJ107" s="9">
        <v>23</v>
      </c>
      <c r="CK107" s="9">
        <v>24</v>
      </c>
      <c r="CL107" s="9" t="s">
        <v>54</v>
      </c>
      <c r="CM107" s="9"/>
      <c r="CN107" s="9">
        <v>1</v>
      </c>
      <c r="CO107" s="9">
        <v>2</v>
      </c>
      <c r="CP107" s="9">
        <v>3</v>
      </c>
      <c r="CQ107" s="9">
        <v>4</v>
      </c>
      <c r="CR107" s="9">
        <v>5</v>
      </c>
      <c r="CS107" s="9">
        <v>6</v>
      </c>
      <c r="CT107" s="9">
        <v>7</v>
      </c>
      <c r="CU107" s="9">
        <v>8</v>
      </c>
      <c r="CV107" s="94">
        <v>9</v>
      </c>
      <c r="CW107" s="94">
        <v>10</v>
      </c>
      <c r="CX107" s="94">
        <v>11</v>
      </c>
      <c r="CY107" s="94">
        <v>12</v>
      </c>
      <c r="CZ107" s="94">
        <v>13</v>
      </c>
      <c r="DA107" s="94">
        <v>14</v>
      </c>
      <c r="DB107" s="94">
        <v>15</v>
      </c>
      <c r="DC107" s="94">
        <v>16</v>
      </c>
      <c r="DD107" s="94">
        <v>17</v>
      </c>
      <c r="DE107" s="94">
        <v>18</v>
      </c>
      <c r="DF107" s="94">
        <v>19</v>
      </c>
      <c r="DG107" s="94">
        <v>20</v>
      </c>
      <c r="DH107" s="94">
        <v>21</v>
      </c>
      <c r="DI107" s="94">
        <v>22</v>
      </c>
      <c r="DJ107" s="9">
        <v>23</v>
      </c>
      <c r="DK107" s="9">
        <v>24</v>
      </c>
      <c r="DL107" s="9" t="s">
        <v>54</v>
      </c>
      <c r="DM107" s="9"/>
      <c r="DN107" s="9">
        <v>1</v>
      </c>
      <c r="DO107" s="9">
        <v>2</v>
      </c>
      <c r="DP107" s="9">
        <v>3</v>
      </c>
      <c r="DQ107" s="9">
        <v>4</v>
      </c>
      <c r="DR107" s="9">
        <v>5</v>
      </c>
      <c r="DS107" s="9">
        <v>6</v>
      </c>
      <c r="DT107" s="9">
        <v>7</v>
      </c>
      <c r="DU107" s="9">
        <v>8</v>
      </c>
      <c r="DV107" s="94">
        <v>9</v>
      </c>
      <c r="DW107" s="94">
        <v>10</v>
      </c>
      <c r="DX107" s="94">
        <v>11</v>
      </c>
      <c r="DY107" s="94">
        <v>12</v>
      </c>
      <c r="DZ107" s="94">
        <v>13</v>
      </c>
      <c r="EA107" s="94">
        <v>14</v>
      </c>
      <c r="EB107" s="94">
        <v>15</v>
      </c>
      <c r="EC107" s="94">
        <v>16</v>
      </c>
      <c r="ED107" s="94">
        <v>17</v>
      </c>
      <c r="EE107" s="94">
        <v>18</v>
      </c>
      <c r="EF107" s="94">
        <v>19</v>
      </c>
      <c r="EG107" s="94">
        <v>20</v>
      </c>
      <c r="EH107" s="94">
        <v>21</v>
      </c>
      <c r="EI107" s="94">
        <v>22</v>
      </c>
      <c r="EJ107" s="9">
        <v>23</v>
      </c>
      <c r="EK107" s="9">
        <v>24</v>
      </c>
      <c r="EL107" s="9" t="s">
        <v>54</v>
      </c>
      <c r="EM107" s="9"/>
      <c r="EN107" s="9">
        <v>1</v>
      </c>
      <c r="EO107" s="9">
        <v>2</v>
      </c>
      <c r="EP107" s="9">
        <v>3</v>
      </c>
      <c r="EQ107" s="9">
        <v>4</v>
      </c>
      <c r="ER107" s="9">
        <v>5</v>
      </c>
      <c r="ES107" s="9">
        <v>6</v>
      </c>
      <c r="ET107" s="9">
        <v>7</v>
      </c>
      <c r="EU107" s="9">
        <v>8</v>
      </c>
      <c r="EV107" s="94">
        <v>9</v>
      </c>
      <c r="EW107" s="94">
        <v>10</v>
      </c>
      <c r="EX107" s="94">
        <v>11</v>
      </c>
      <c r="EY107" s="94">
        <v>12</v>
      </c>
      <c r="EZ107" s="94">
        <v>13</v>
      </c>
      <c r="FA107" s="94">
        <v>14</v>
      </c>
      <c r="FB107" s="94">
        <v>15</v>
      </c>
      <c r="FC107" s="94">
        <v>16</v>
      </c>
      <c r="FD107" s="94">
        <v>17</v>
      </c>
      <c r="FE107" s="94">
        <v>18</v>
      </c>
      <c r="FF107" s="94">
        <v>19</v>
      </c>
      <c r="FG107" s="94">
        <v>20</v>
      </c>
      <c r="FH107" s="94">
        <v>21</v>
      </c>
      <c r="FI107" s="94">
        <v>22</v>
      </c>
      <c r="FJ107" s="9">
        <v>23</v>
      </c>
      <c r="FK107" s="9">
        <v>24</v>
      </c>
    </row>
    <row r="108" spans="2:167" x14ac:dyDescent="0.25">
      <c r="B108" s="64" t="s">
        <v>114</v>
      </c>
      <c r="D108" s="1" t="s">
        <v>18</v>
      </c>
      <c r="E108" s="10">
        <v>50</v>
      </c>
      <c r="J108" s="38"/>
      <c r="L108" s="1" t="s">
        <v>0</v>
      </c>
      <c r="M108" s="1" t="s">
        <v>14</v>
      </c>
      <c r="N108" s="25">
        <f>'Hourly Solar Generation'!B$7</f>
        <v>0</v>
      </c>
      <c r="O108" s="25">
        <f>'Hourly Solar Generation'!C$7</f>
        <v>0</v>
      </c>
      <c r="P108" s="25">
        <f>'Hourly Solar Generation'!D$7</f>
        <v>0</v>
      </c>
      <c r="Q108" s="25">
        <f>'Hourly Solar Generation'!E$7</f>
        <v>0</v>
      </c>
      <c r="R108" s="25">
        <f>'Hourly Solar Generation'!F$7</f>
        <v>0</v>
      </c>
      <c r="S108" s="25">
        <f>'Hourly Solar Generation'!G$7</f>
        <v>0</v>
      </c>
      <c r="T108" s="25">
        <f>'Hourly Solar Generation'!H$7</f>
        <v>0.60125993476725614</v>
      </c>
      <c r="U108" s="25">
        <f>'Hourly Solar Generation'!I$7</f>
        <v>3.2511358553673033</v>
      </c>
      <c r="V108" s="25">
        <f>'Hourly Solar Generation'!J$7</f>
        <v>6.5765555423031925</v>
      </c>
      <c r="W108" s="25">
        <f>'Hourly Solar Generation'!K$7</f>
        <v>9.3690830954347604</v>
      </c>
      <c r="X108" s="25">
        <f>'Hourly Solar Generation'!L$7</f>
        <v>11.161920035852591</v>
      </c>
      <c r="Y108" s="25">
        <f>'Hourly Solar Generation'!M$7</f>
        <v>12.284505368221838</v>
      </c>
      <c r="Z108" s="25">
        <f>'Hourly Solar Generation'!N$7</f>
        <v>12.06174327131189</v>
      </c>
      <c r="AA108" s="25">
        <f>'Hourly Solar Generation'!O$7</f>
        <v>11.062207072972766</v>
      </c>
      <c r="AB108" s="25">
        <f>'Hourly Solar Generation'!P$7</f>
        <v>9.2571360202939594</v>
      </c>
      <c r="AC108" s="25">
        <f>'Hourly Solar Generation'!Q$7</f>
        <v>6.5439717189479678</v>
      </c>
      <c r="AD108" s="25">
        <f>'Hourly Solar Generation'!R$7</f>
        <v>3.6435219037397841</v>
      </c>
      <c r="AE108" s="25">
        <f>'Hourly Solar Generation'!S$7</f>
        <v>1.1454678216573344</v>
      </c>
      <c r="AF108" s="25">
        <f>'Hourly Solar Generation'!T$7</f>
        <v>3.5492359129355652E-2</v>
      </c>
      <c r="AG108" s="25">
        <f>'Hourly Solar Generation'!U$7</f>
        <v>0</v>
      </c>
      <c r="AH108" s="25">
        <f>'Hourly Solar Generation'!V$7</f>
        <v>0</v>
      </c>
      <c r="AI108" s="25">
        <f>'Hourly Solar Generation'!W$7</f>
        <v>0</v>
      </c>
      <c r="AJ108" s="25">
        <f>'Hourly Solar Generation'!X$7</f>
        <v>0</v>
      </c>
      <c r="AK108" s="25">
        <f>'Hourly Solar Generation'!Y$7</f>
        <v>0</v>
      </c>
      <c r="AL108" s="1" t="s">
        <v>0</v>
      </c>
      <c r="AM108" s="1" t="s">
        <v>14</v>
      </c>
      <c r="AN108" s="25">
        <f>N108</f>
        <v>0</v>
      </c>
      <c r="AO108" s="25">
        <f t="shared" ref="AO108" si="1571">O108</f>
        <v>0</v>
      </c>
      <c r="AP108" s="25">
        <f t="shared" ref="AP108" si="1572">P108</f>
        <v>0</v>
      </c>
      <c r="AQ108" s="25">
        <f t="shared" ref="AQ108" si="1573">Q108</f>
        <v>0</v>
      </c>
      <c r="AR108" s="25">
        <f t="shared" ref="AR108" si="1574">R108</f>
        <v>0</v>
      </c>
      <c r="AS108" s="25">
        <f t="shared" ref="AS108" si="1575">S108</f>
        <v>0</v>
      </c>
      <c r="AT108" s="25">
        <f t="shared" ref="AT108" si="1576">T108</f>
        <v>0.60125993476725614</v>
      </c>
      <c r="AU108" s="25">
        <f t="shared" ref="AU108" si="1577">U108</f>
        <v>3.2511358553673033</v>
      </c>
      <c r="AV108" s="25">
        <f t="shared" ref="AV108" si="1578">V108</f>
        <v>6.5765555423031925</v>
      </c>
      <c r="AW108" s="25">
        <f t="shared" ref="AW108" si="1579">W108</f>
        <v>9.3690830954347604</v>
      </c>
      <c r="AX108" s="25">
        <f t="shared" ref="AX108" si="1580">X108</f>
        <v>11.161920035852591</v>
      </c>
      <c r="AY108" s="25">
        <f t="shared" ref="AY108" si="1581">Y108</f>
        <v>12.284505368221838</v>
      </c>
      <c r="AZ108" s="25">
        <f t="shared" ref="AZ108" si="1582">Z108</f>
        <v>12.06174327131189</v>
      </c>
      <c r="BA108" s="25">
        <f t="shared" ref="BA108" si="1583">AA108</f>
        <v>11.062207072972766</v>
      </c>
      <c r="BB108" s="25">
        <f t="shared" ref="BB108" si="1584">AB108</f>
        <v>9.2571360202939594</v>
      </c>
      <c r="BC108" s="25">
        <f t="shared" ref="BC108" si="1585">AC108</f>
        <v>6.5439717189479678</v>
      </c>
      <c r="BD108" s="25">
        <f t="shared" ref="BD108" si="1586">AD108</f>
        <v>3.6435219037397841</v>
      </c>
      <c r="BE108" s="25">
        <f t="shared" ref="BE108" si="1587">AE108</f>
        <v>1.1454678216573344</v>
      </c>
      <c r="BF108" s="25">
        <f t="shared" ref="BF108" si="1588">AF108</f>
        <v>3.5492359129355652E-2</v>
      </c>
      <c r="BG108" s="25">
        <f t="shared" ref="BG108" si="1589">AG108</f>
        <v>0</v>
      </c>
      <c r="BH108" s="25">
        <f t="shared" ref="BH108" si="1590">AH108</f>
        <v>0</v>
      </c>
      <c r="BI108" s="25">
        <f t="shared" ref="BI108" si="1591">AI108</f>
        <v>0</v>
      </c>
      <c r="BJ108" s="25">
        <f t="shared" ref="BJ108" si="1592">AJ108</f>
        <v>0</v>
      </c>
      <c r="BK108" s="25">
        <f t="shared" ref="BK108" si="1593">AK108</f>
        <v>0</v>
      </c>
      <c r="BL108" s="1" t="s">
        <v>0</v>
      </c>
      <c r="BM108" s="1" t="s">
        <v>14</v>
      </c>
      <c r="BN108" s="25">
        <f>AN108</f>
        <v>0</v>
      </c>
      <c r="BO108" s="25">
        <f t="shared" ref="BO108" si="1594">AO108</f>
        <v>0</v>
      </c>
      <c r="BP108" s="25">
        <f t="shared" ref="BP108" si="1595">AP108</f>
        <v>0</v>
      </c>
      <c r="BQ108" s="25">
        <f t="shared" ref="BQ108" si="1596">AQ108</f>
        <v>0</v>
      </c>
      <c r="BR108" s="25">
        <f t="shared" ref="BR108" si="1597">AR108</f>
        <v>0</v>
      </c>
      <c r="BS108" s="25">
        <f t="shared" ref="BS108" si="1598">AS108</f>
        <v>0</v>
      </c>
      <c r="BT108" s="25">
        <f t="shared" ref="BT108" si="1599">AT108</f>
        <v>0.60125993476725614</v>
      </c>
      <c r="BU108" s="25">
        <f t="shared" ref="BU108" si="1600">AU108</f>
        <v>3.2511358553673033</v>
      </c>
      <c r="BV108" s="25">
        <f t="shared" ref="BV108" si="1601">AV108</f>
        <v>6.5765555423031925</v>
      </c>
      <c r="BW108" s="25">
        <f t="shared" ref="BW108" si="1602">AW108</f>
        <v>9.3690830954347604</v>
      </c>
      <c r="BX108" s="25">
        <f t="shared" ref="BX108" si="1603">AX108</f>
        <v>11.161920035852591</v>
      </c>
      <c r="BY108" s="25">
        <f t="shared" ref="BY108" si="1604">AY108</f>
        <v>12.284505368221838</v>
      </c>
      <c r="BZ108" s="25">
        <f t="shared" ref="BZ108" si="1605">AZ108</f>
        <v>12.06174327131189</v>
      </c>
      <c r="CA108" s="25">
        <f t="shared" ref="CA108" si="1606">BA108</f>
        <v>11.062207072972766</v>
      </c>
      <c r="CB108" s="25">
        <f t="shared" ref="CB108" si="1607">BB108</f>
        <v>9.2571360202939594</v>
      </c>
      <c r="CC108" s="25">
        <f t="shared" ref="CC108" si="1608">BC108</f>
        <v>6.5439717189479678</v>
      </c>
      <c r="CD108" s="25">
        <f t="shared" ref="CD108" si="1609">BD108</f>
        <v>3.6435219037397841</v>
      </c>
      <c r="CE108" s="25">
        <f t="shared" ref="CE108" si="1610">BE108</f>
        <v>1.1454678216573344</v>
      </c>
      <c r="CF108" s="25">
        <f t="shared" ref="CF108" si="1611">BF108</f>
        <v>3.5492359129355652E-2</v>
      </c>
      <c r="CG108" s="25">
        <f t="shared" ref="CG108" si="1612">BG108</f>
        <v>0</v>
      </c>
      <c r="CH108" s="25">
        <f t="shared" ref="CH108" si="1613">BH108</f>
        <v>0</v>
      </c>
      <c r="CI108" s="25">
        <f t="shared" ref="CI108" si="1614">BI108</f>
        <v>0</v>
      </c>
      <c r="CJ108" s="25">
        <f t="shared" ref="CJ108" si="1615">BJ108</f>
        <v>0</v>
      </c>
      <c r="CK108" s="25">
        <f t="shared" ref="CK108" si="1616">BK108</f>
        <v>0</v>
      </c>
      <c r="CL108" s="1" t="s">
        <v>0</v>
      </c>
      <c r="CM108" s="1" t="s">
        <v>14</v>
      </c>
      <c r="CN108" s="25">
        <f>BN108</f>
        <v>0</v>
      </c>
      <c r="CO108" s="25">
        <f t="shared" ref="CO108" si="1617">BO108</f>
        <v>0</v>
      </c>
      <c r="CP108" s="25">
        <f t="shared" ref="CP108" si="1618">BP108</f>
        <v>0</v>
      </c>
      <c r="CQ108" s="25">
        <f t="shared" ref="CQ108" si="1619">BQ108</f>
        <v>0</v>
      </c>
      <c r="CR108" s="25">
        <f t="shared" ref="CR108" si="1620">BR108</f>
        <v>0</v>
      </c>
      <c r="CS108" s="25">
        <f t="shared" ref="CS108" si="1621">BS108</f>
        <v>0</v>
      </c>
      <c r="CT108" s="25">
        <f t="shared" ref="CT108" si="1622">BT108</f>
        <v>0.60125993476725614</v>
      </c>
      <c r="CU108" s="25">
        <f t="shared" ref="CU108" si="1623">BU108</f>
        <v>3.2511358553673033</v>
      </c>
      <c r="CV108" s="25">
        <f t="shared" ref="CV108" si="1624">BV108</f>
        <v>6.5765555423031925</v>
      </c>
      <c r="CW108" s="25">
        <f t="shared" ref="CW108" si="1625">BW108</f>
        <v>9.3690830954347604</v>
      </c>
      <c r="CX108" s="25">
        <f t="shared" ref="CX108" si="1626">BX108</f>
        <v>11.161920035852591</v>
      </c>
      <c r="CY108" s="25">
        <f t="shared" ref="CY108" si="1627">BY108</f>
        <v>12.284505368221838</v>
      </c>
      <c r="CZ108" s="25">
        <f t="shared" ref="CZ108" si="1628">BZ108</f>
        <v>12.06174327131189</v>
      </c>
      <c r="DA108" s="25">
        <f t="shared" ref="DA108" si="1629">CA108</f>
        <v>11.062207072972766</v>
      </c>
      <c r="DB108" s="25">
        <f t="shared" ref="DB108" si="1630">CB108</f>
        <v>9.2571360202939594</v>
      </c>
      <c r="DC108" s="25">
        <f t="shared" ref="DC108" si="1631">CC108</f>
        <v>6.5439717189479678</v>
      </c>
      <c r="DD108" s="25">
        <f t="shared" ref="DD108" si="1632">CD108</f>
        <v>3.6435219037397841</v>
      </c>
      <c r="DE108" s="25">
        <f t="shared" ref="DE108" si="1633">CE108</f>
        <v>1.1454678216573344</v>
      </c>
      <c r="DF108" s="25">
        <f t="shared" ref="DF108" si="1634">CF108</f>
        <v>3.5492359129355652E-2</v>
      </c>
      <c r="DG108" s="25">
        <f t="shared" ref="DG108" si="1635">CG108</f>
        <v>0</v>
      </c>
      <c r="DH108" s="25">
        <f t="shared" ref="DH108" si="1636">CH108</f>
        <v>0</v>
      </c>
      <c r="DI108" s="25">
        <f t="shared" ref="DI108" si="1637">CI108</f>
        <v>0</v>
      </c>
      <c r="DJ108" s="25">
        <f t="shared" ref="DJ108" si="1638">CJ108</f>
        <v>0</v>
      </c>
      <c r="DK108" s="25">
        <f t="shared" ref="DK108" si="1639">CK108</f>
        <v>0</v>
      </c>
      <c r="DL108" s="1" t="s">
        <v>0</v>
      </c>
      <c r="DM108" s="1" t="s">
        <v>14</v>
      </c>
      <c r="DN108" s="25">
        <f>CN108</f>
        <v>0</v>
      </c>
      <c r="DO108" s="25">
        <f t="shared" ref="DO108" si="1640">CO108</f>
        <v>0</v>
      </c>
      <c r="DP108" s="25">
        <f t="shared" ref="DP108" si="1641">CP108</f>
        <v>0</v>
      </c>
      <c r="DQ108" s="25">
        <f t="shared" ref="DQ108" si="1642">CQ108</f>
        <v>0</v>
      </c>
      <c r="DR108" s="25">
        <f t="shared" ref="DR108" si="1643">CR108</f>
        <v>0</v>
      </c>
      <c r="DS108" s="25">
        <f t="shared" ref="DS108" si="1644">CS108</f>
        <v>0</v>
      </c>
      <c r="DT108" s="25">
        <f t="shared" ref="DT108" si="1645">CT108</f>
        <v>0.60125993476725614</v>
      </c>
      <c r="DU108" s="25">
        <f t="shared" ref="DU108" si="1646">CU108</f>
        <v>3.2511358553673033</v>
      </c>
      <c r="DV108" s="25">
        <f t="shared" ref="DV108" si="1647">CV108</f>
        <v>6.5765555423031925</v>
      </c>
      <c r="DW108" s="25">
        <f t="shared" ref="DW108" si="1648">CW108</f>
        <v>9.3690830954347604</v>
      </c>
      <c r="DX108" s="25">
        <f t="shared" ref="DX108" si="1649">CX108</f>
        <v>11.161920035852591</v>
      </c>
      <c r="DY108" s="25">
        <f t="shared" ref="DY108" si="1650">CY108</f>
        <v>12.284505368221838</v>
      </c>
      <c r="DZ108" s="25">
        <f t="shared" ref="DZ108" si="1651">CZ108</f>
        <v>12.06174327131189</v>
      </c>
      <c r="EA108" s="25">
        <f t="shared" ref="EA108" si="1652">DA108</f>
        <v>11.062207072972766</v>
      </c>
      <c r="EB108" s="25">
        <f t="shared" ref="EB108" si="1653">DB108</f>
        <v>9.2571360202939594</v>
      </c>
      <c r="EC108" s="25">
        <f t="shared" ref="EC108" si="1654">DC108</f>
        <v>6.5439717189479678</v>
      </c>
      <c r="ED108" s="25">
        <f t="shared" ref="ED108" si="1655">DD108</f>
        <v>3.6435219037397841</v>
      </c>
      <c r="EE108" s="25">
        <f t="shared" ref="EE108" si="1656">DE108</f>
        <v>1.1454678216573344</v>
      </c>
      <c r="EF108" s="25">
        <f t="shared" ref="EF108" si="1657">DF108</f>
        <v>3.5492359129355652E-2</v>
      </c>
      <c r="EG108" s="25">
        <f t="shared" ref="EG108" si="1658">DG108</f>
        <v>0</v>
      </c>
      <c r="EH108" s="25">
        <f t="shared" ref="EH108" si="1659">DH108</f>
        <v>0</v>
      </c>
      <c r="EI108" s="25">
        <f t="shared" ref="EI108" si="1660">DI108</f>
        <v>0</v>
      </c>
      <c r="EJ108" s="25">
        <f t="shared" ref="EJ108" si="1661">DJ108</f>
        <v>0</v>
      </c>
      <c r="EK108" s="25">
        <f t="shared" ref="EK108" si="1662">DK108</f>
        <v>0</v>
      </c>
      <c r="EL108" s="1" t="s">
        <v>0</v>
      </c>
      <c r="EM108" s="1" t="s">
        <v>14</v>
      </c>
      <c r="EN108" s="25">
        <f>DN108</f>
        <v>0</v>
      </c>
      <c r="EO108" s="25">
        <f t="shared" ref="EO108" si="1663">DO108</f>
        <v>0</v>
      </c>
      <c r="EP108" s="25">
        <f t="shared" ref="EP108" si="1664">DP108</f>
        <v>0</v>
      </c>
      <c r="EQ108" s="25">
        <f t="shared" ref="EQ108" si="1665">DQ108</f>
        <v>0</v>
      </c>
      <c r="ER108" s="25">
        <f t="shared" ref="ER108" si="1666">DR108</f>
        <v>0</v>
      </c>
      <c r="ES108" s="25">
        <f t="shared" ref="ES108" si="1667">DS108</f>
        <v>0</v>
      </c>
      <c r="ET108" s="25">
        <f t="shared" ref="ET108" si="1668">DT108</f>
        <v>0.60125993476725614</v>
      </c>
      <c r="EU108" s="25">
        <f t="shared" ref="EU108" si="1669">DU108</f>
        <v>3.2511358553673033</v>
      </c>
      <c r="EV108" s="25">
        <f t="shared" ref="EV108" si="1670">DV108</f>
        <v>6.5765555423031925</v>
      </c>
      <c r="EW108" s="25">
        <f t="shared" ref="EW108" si="1671">DW108</f>
        <v>9.3690830954347604</v>
      </c>
      <c r="EX108" s="25">
        <f t="shared" ref="EX108" si="1672">DX108</f>
        <v>11.161920035852591</v>
      </c>
      <c r="EY108" s="25">
        <f t="shared" ref="EY108" si="1673">DY108</f>
        <v>12.284505368221838</v>
      </c>
      <c r="EZ108" s="25">
        <f t="shared" ref="EZ108" si="1674">DZ108</f>
        <v>12.06174327131189</v>
      </c>
      <c r="FA108" s="25">
        <f t="shared" ref="FA108" si="1675">EA108</f>
        <v>11.062207072972766</v>
      </c>
      <c r="FB108" s="25">
        <f t="shared" ref="FB108" si="1676">EB108</f>
        <v>9.2571360202939594</v>
      </c>
      <c r="FC108" s="25">
        <f t="shared" ref="FC108" si="1677">EC108</f>
        <v>6.5439717189479678</v>
      </c>
      <c r="FD108" s="25">
        <f t="shared" ref="FD108" si="1678">ED108</f>
        <v>3.6435219037397841</v>
      </c>
      <c r="FE108" s="25">
        <f t="shared" ref="FE108" si="1679">EE108</f>
        <v>1.1454678216573344</v>
      </c>
      <c r="FF108" s="25">
        <f t="shared" ref="FF108" si="1680">EF108</f>
        <v>3.5492359129355652E-2</v>
      </c>
      <c r="FG108" s="25">
        <f t="shared" ref="FG108" si="1681">EG108</f>
        <v>0</v>
      </c>
      <c r="FH108" s="25">
        <f t="shared" ref="FH108" si="1682">EH108</f>
        <v>0</v>
      </c>
      <c r="FI108" s="25">
        <f t="shared" ref="FI108" si="1683">EI108</f>
        <v>0</v>
      </c>
      <c r="FJ108" s="25">
        <f t="shared" ref="FJ108" si="1684">EJ108</f>
        <v>0</v>
      </c>
      <c r="FK108" s="25">
        <f t="shared" ref="FK108" si="1685">EK108</f>
        <v>0</v>
      </c>
    </row>
    <row r="109" spans="2:167" x14ac:dyDescent="0.25">
      <c r="B109" s="37" t="s">
        <v>115</v>
      </c>
      <c r="D109" s="1" t="s">
        <v>21</v>
      </c>
      <c r="E109" s="10">
        <v>1</v>
      </c>
      <c r="G109" s="2" t="s">
        <v>67</v>
      </c>
      <c r="J109" s="38"/>
      <c r="L109" s="1" t="s">
        <v>137</v>
      </c>
      <c r="M109" s="1" t="s">
        <v>14</v>
      </c>
      <c r="N109" s="25">
        <f>$J100</f>
        <v>28.8</v>
      </c>
      <c r="O109" s="25">
        <f t="shared" ref="O109:U109" si="1686">$J100</f>
        <v>28.8</v>
      </c>
      <c r="P109" s="25">
        <f t="shared" si="1686"/>
        <v>28.8</v>
      </c>
      <c r="Q109" s="25">
        <f t="shared" si="1686"/>
        <v>28.8</v>
      </c>
      <c r="R109" s="25">
        <f t="shared" si="1686"/>
        <v>28.8</v>
      </c>
      <c r="S109" s="25">
        <f t="shared" si="1686"/>
        <v>28.8</v>
      </c>
      <c r="T109" s="25">
        <f t="shared" si="1686"/>
        <v>28.8</v>
      </c>
      <c r="U109" s="25">
        <f t="shared" si="1686"/>
        <v>28.8</v>
      </c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>
        <f t="shared" ref="AJ109:AK109" si="1687">$J100</f>
        <v>28.8</v>
      </c>
      <c r="AK109" s="25">
        <f t="shared" si="1687"/>
        <v>28.8</v>
      </c>
      <c r="AL109" s="1" t="s">
        <v>137</v>
      </c>
      <c r="AM109" s="1" t="s">
        <v>14</v>
      </c>
      <c r="AN109" s="25">
        <f>$J100</f>
        <v>28.8</v>
      </c>
      <c r="AO109" s="25">
        <f t="shared" ref="AO109:AU109" si="1688">$J100</f>
        <v>28.8</v>
      </c>
      <c r="AP109" s="25">
        <f t="shared" si="1688"/>
        <v>28.8</v>
      </c>
      <c r="AQ109" s="25">
        <f t="shared" si="1688"/>
        <v>28.8</v>
      </c>
      <c r="AR109" s="25">
        <f t="shared" si="1688"/>
        <v>28.8</v>
      </c>
      <c r="AS109" s="25">
        <f t="shared" si="1688"/>
        <v>28.8</v>
      </c>
      <c r="AT109" s="25">
        <f t="shared" si="1688"/>
        <v>28.8</v>
      </c>
      <c r="AU109" s="25">
        <f t="shared" si="1688"/>
        <v>28.8</v>
      </c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>
        <f t="shared" ref="BJ109:BK109" si="1689">$J100</f>
        <v>28.8</v>
      </c>
      <c r="BK109" s="25">
        <f t="shared" si="1689"/>
        <v>28.8</v>
      </c>
      <c r="BL109" s="1" t="s">
        <v>137</v>
      </c>
      <c r="BM109" s="1" t="s">
        <v>14</v>
      </c>
      <c r="BN109" s="25">
        <f>$J100</f>
        <v>28.8</v>
      </c>
      <c r="BO109" s="25">
        <f t="shared" ref="BO109:BU109" si="1690">$J100</f>
        <v>28.8</v>
      </c>
      <c r="BP109" s="25">
        <f t="shared" si="1690"/>
        <v>28.8</v>
      </c>
      <c r="BQ109" s="25">
        <f t="shared" si="1690"/>
        <v>28.8</v>
      </c>
      <c r="BR109" s="25">
        <f t="shared" si="1690"/>
        <v>28.8</v>
      </c>
      <c r="BS109" s="25">
        <f t="shared" si="1690"/>
        <v>28.8</v>
      </c>
      <c r="BT109" s="25">
        <f t="shared" si="1690"/>
        <v>28.8</v>
      </c>
      <c r="BU109" s="25">
        <f t="shared" si="1690"/>
        <v>28.8</v>
      </c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>
        <f t="shared" ref="CJ109:CK109" si="1691">$J100</f>
        <v>28.8</v>
      </c>
      <c r="CK109" s="25">
        <f t="shared" si="1691"/>
        <v>28.8</v>
      </c>
      <c r="CL109" s="1" t="s">
        <v>137</v>
      </c>
      <c r="CM109" s="1" t="s">
        <v>14</v>
      </c>
      <c r="CN109" s="25">
        <f>$J100</f>
        <v>28.8</v>
      </c>
      <c r="CO109" s="25">
        <f t="shared" ref="CO109:CU109" si="1692">$J100</f>
        <v>28.8</v>
      </c>
      <c r="CP109" s="25">
        <f t="shared" si="1692"/>
        <v>28.8</v>
      </c>
      <c r="CQ109" s="25">
        <f t="shared" si="1692"/>
        <v>28.8</v>
      </c>
      <c r="CR109" s="25">
        <f t="shared" si="1692"/>
        <v>28.8</v>
      </c>
      <c r="CS109" s="25">
        <f t="shared" si="1692"/>
        <v>28.8</v>
      </c>
      <c r="CT109" s="25">
        <f t="shared" si="1692"/>
        <v>28.8</v>
      </c>
      <c r="CU109" s="25">
        <f t="shared" si="1692"/>
        <v>28.8</v>
      </c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>
        <f t="shared" ref="DJ109:DK109" si="1693">$J100</f>
        <v>28.8</v>
      </c>
      <c r="DK109" s="25">
        <f t="shared" si="1693"/>
        <v>28.8</v>
      </c>
      <c r="DL109" s="1" t="s">
        <v>137</v>
      </c>
      <c r="DM109" s="1" t="s">
        <v>14</v>
      </c>
      <c r="DN109" s="25">
        <f>$J100</f>
        <v>28.8</v>
      </c>
      <c r="DO109" s="25">
        <f t="shared" ref="DO109:DU109" si="1694">$J100</f>
        <v>28.8</v>
      </c>
      <c r="DP109" s="25">
        <f t="shared" si="1694"/>
        <v>28.8</v>
      </c>
      <c r="DQ109" s="25">
        <f t="shared" si="1694"/>
        <v>28.8</v>
      </c>
      <c r="DR109" s="25">
        <f t="shared" si="1694"/>
        <v>28.8</v>
      </c>
      <c r="DS109" s="25">
        <f t="shared" si="1694"/>
        <v>28.8</v>
      </c>
      <c r="DT109" s="25">
        <f t="shared" si="1694"/>
        <v>28.8</v>
      </c>
      <c r="DU109" s="25">
        <f t="shared" si="1694"/>
        <v>28.8</v>
      </c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>
        <f t="shared" ref="EJ109:EK109" si="1695">$J100</f>
        <v>28.8</v>
      </c>
      <c r="EK109" s="25">
        <f t="shared" si="1695"/>
        <v>28.8</v>
      </c>
      <c r="EL109" s="1" t="s">
        <v>137</v>
      </c>
      <c r="EM109" s="1" t="s">
        <v>14</v>
      </c>
      <c r="EN109" s="25">
        <f>$J100</f>
        <v>28.8</v>
      </c>
      <c r="EO109" s="25">
        <f t="shared" ref="EO109:EU109" si="1696">$J100</f>
        <v>28.8</v>
      </c>
      <c r="EP109" s="25">
        <f t="shared" si="1696"/>
        <v>28.8</v>
      </c>
      <c r="EQ109" s="25">
        <f t="shared" si="1696"/>
        <v>28.8</v>
      </c>
      <c r="ER109" s="25">
        <f t="shared" si="1696"/>
        <v>28.8</v>
      </c>
      <c r="ES109" s="25">
        <f t="shared" si="1696"/>
        <v>28.8</v>
      </c>
      <c r="ET109" s="25">
        <f t="shared" si="1696"/>
        <v>28.8</v>
      </c>
      <c r="EU109" s="25">
        <f t="shared" si="1696"/>
        <v>28.8</v>
      </c>
      <c r="EV109" s="25"/>
      <c r="EW109" s="25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>
        <f t="shared" ref="FJ109:FK109" si="1697">$J100</f>
        <v>28.8</v>
      </c>
      <c r="FK109" s="25">
        <f t="shared" si="1697"/>
        <v>28.8</v>
      </c>
    </row>
    <row r="110" spans="2:167" x14ac:dyDescent="0.25">
      <c r="B110" s="37" t="s">
        <v>117</v>
      </c>
      <c r="D110" s="1" t="s">
        <v>44</v>
      </c>
      <c r="E110" s="57">
        <f>E117*J115/E108</f>
        <v>0.64800000000000013</v>
      </c>
      <c r="G110" s="1" t="s">
        <v>107</v>
      </c>
      <c r="I110" s="1" t="s">
        <v>14</v>
      </c>
      <c r="J110" s="49">
        <f>SUM(N108:AK108)</f>
        <v>86.993999999999986</v>
      </c>
      <c r="L110" s="1" t="s">
        <v>133</v>
      </c>
      <c r="M110" s="1" t="s">
        <v>14</v>
      </c>
      <c r="V110" s="46">
        <f>IF(V114&gt;0, $J100,0)</f>
        <v>28.8</v>
      </c>
      <c r="W110" s="46">
        <f t="shared" ref="W110:AI110" si="1698">IF(W114&gt;0, $J100,0)</f>
        <v>28.8</v>
      </c>
      <c r="X110" s="46">
        <f t="shared" si="1698"/>
        <v>28.8</v>
      </c>
      <c r="Y110" s="46">
        <f t="shared" si="1698"/>
        <v>28.8</v>
      </c>
      <c r="Z110" s="46">
        <f t="shared" si="1698"/>
        <v>28.8</v>
      </c>
      <c r="AA110" s="46">
        <f t="shared" si="1698"/>
        <v>28.8</v>
      </c>
      <c r="AB110" s="46">
        <f t="shared" si="1698"/>
        <v>28.8</v>
      </c>
      <c r="AC110" s="46">
        <f t="shared" si="1698"/>
        <v>28.8</v>
      </c>
      <c r="AD110" s="46">
        <f t="shared" si="1698"/>
        <v>28.8</v>
      </c>
      <c r="AE110" s="46">
        <f t="shared" si="1698"/>
        <v>28.8</v>
      </c>
      <c r="AF110" s="46">
        <f t="shared" si="1698"/>
        <v>28.8</v>
      </c>
      <c r="AG110" s="46">
        <f t="shared" si="1698"/>
        <v>28.8</v>
      </c>
      <c r="AH110" s="46">
        <f t="shared" si="1698"/>
        <v>28.8</v>
      </c>
      <c r="AI110" s="46">
        <f t="shared" si="1698"/>
        <v>28.8</v>
      </c>
      <c r="AL110" s="1" t="s">
        <v>133</v>
      </c>
      <c r="AM110" s="1" t="s">
        <v>14</v>
      </c>
      <c r="AV110" s="46">
        <f>IF(AV114&gt;0, $J100,0)</f>
        <v>28.8</v>
      </c>
      <c r="AW110" s="46">
        <f t="shared" ref="AW110:BI110" si="1699">IF(AW114&gt;0, $J100,0)</f>
        <v>28.8</v>
      </c>
      <c r="AX110" s="46">
        <f t="shared" si="1699"/>
        <v>28.8</v>
      </c>
      <c r="AY110" s="46">
        <f t="shared" si="1699"/>
        <v>28.8</v>
      </c>
      <c r="AZ110" s="46">
        <f t="shared" si="1699"/>
        <v>28.8</v>
      </c>
      <c r="BA110" s="46">
        <f t="shared" si="1699"/>
        <v>28.8</v>
      </c>
      <c r="BB110" s="46">
        <f t="shared" si="1699"/>
        <v>28.8</v>
      </c>
      <c r="BC110" s="46">
        <f t="shared" si="1699"/>
        <v>28.8</v>
      </c>
      <c r="BD110" s="46">
        <f t="shared" si="1699"/>
        <v>28.8</v>
      </c>
      <c r="BE110" s="46">
        <f t="shared" si="1699"/>
        <v>28.8</v>
      </c>
      <c r="BF110" s="46">
        <f t="shared" si="1699"/>
        <v>28.8</v>
      </c>
      <c r="BG110" s="46">
        <f t="shared" si="1699"/>
        <v>28.8</v>
      </c>
      <c r="BH110" s="46">
        <f t="shared" si="1699"/>
        <v>28.8</v>
      </c>
      <c r="BI110" s="46">
        <f t="shared" si="1699"/>
        <v>28.8</v>
      </c>
      <c r="BL110" s="1" t="s">
        <v>133</v>
      </c>
      <c r="BM110" s="1" t="s">
        <v>14</v>
      </c>
      <c r="BV110" s="46">
        <f>IF(BV114&gt;0, $J100,0)</f>
        <v>28.8</v>
      </c>
      <c r="BW110" s="46">
        <f t="shared" ref="BW110:CI110" si="1700">IF(BW114&gt;0, $J100,0)</f>
        <v>28.8</v>
      </c>
      <c r="BX110" s="46">
        <f t="shared" si="1700"/>
        <v>28.8</v>
      </c>
      <c r="BY110" s="46">
        <f t="shared" si="1700"/>
        <v>28.8</v>
      </c>
      <c r="BZ110" s="46">
        <f t="shared" si="1700"/>
        <v>28.8</v>
      </c>
      <c r="CA110" s="46">
        <f t="shared" si="1700"/>
        <v>28.8</v>
      </c>
      <c r="CB110" s="46">
        <f t="shared" si="1700"/>
        <v>28.8</v>
      </c>
      <c r="CC110" s="46">
        <f t="shared" si="1700"/>
        <v>28.8</v>
      </c>
      <c r="CD110" s="46">
        <f t="shared" si="1700"/>
        <v>28.8</v>
      </c>
      <c r="CE110" s="46">
        <f t="shared" si="1700"/>
        <v>28.8</v>
      </c>
      <c r="CF110" s="46">
        <f t="shared" si="1700"/>
        <v>28.8</v>
      </c>
      <c r="CG110" s="46">
        <f t="shared" si="1700"/>
        <v>28.8</v>
      </c>
      <c r="CH110" s="46">
        <f t="shared" si="1700"/>
        <v>28.8</v>
      </c>
      <c r="CI110" s="46">
        <f t="shared" si="1700"/>
        <v>28.8</v>
      </c>
      <c r="CL110" s="1" t="s">
        <v>133</v>
      </c>
      <c r="CM110" s="1" t="s">
        <v>14</v>
      </c>
      <c r="CV110" s="46">
        <f>IF(CV114&gt;0, $J100,0)</f>
        <v>28.8</v>
      </c>
      <c r="CW110" s="46">
        <f t="shared" ref="CW110:DI110" si="1701">IF(CW114&gt;0, $J100,0)</f>
        <v>28.8</v>
      </c>
      <c r="CX110" s="46">
        <f t="shared" si="1701"/>
        <v>28.8</v>
      </c>
      <c r="CY110" s="46">
        <f t="shared" si="1701"/>
        <v>28.8</v>
      </c>
      <c r="CZ110" s="46">
        <f t="shared" si="1701"/>
        <v>28.8</v>
      </c>
      <c r="DA110" s="46">
        <f t="shared" si="1701"/>
        <v>28.8</v>
      </c>
      <c r="DB110" s="46">
        <f t="shared" si="1701"/>
        <v>28.8</v>
      </c>
      <c r="DC110" s="46">
        <f t="shared" si="1701"/>
        <v>28.8</v>
      </c>
      <c r="DD110" s="46">
        <f t="shared" si="1701"/>
        <v>28.8</v>
      </c>
      <c r="DE110" s="46">
        <f t="shared" si="1701"/>
        <v>28.8</v>
      </c>
      <c r="DF110" s="46">
        <f t="shared" si="1701"/>
        <v>28.8</v>
      </c>
      <c r="DG110" s="46">
        <f t="shared" si="1701"/>
        <v>28.8</v>
      </c>
      <c r="DH110" s="46">
        <f t="shared" si="1701"/>
        <v>28.8</v>
      </c>
      <c r="DI110" s="46">
        <f t="shared" si="1701"/>
        <v>28.8</v>
      </c>
      <c r="DL110" s="1" t="s">
        <v>133</v>
      </c>
      <c r="DM110" s="1" t="s">
        <v>14</v>
      </c>
      <c r="DV110" s="46">
        <f>IF(DV114&gt;0, $J100,0)</f>
        <v>28.8</v>
      </c>
      <c r="DW110" s="46">
        <f t="shared" ref="DW110:EI110" si="1702">IF(DW114&gt;0, $J100,0)</f>
        <v>28.8</v>
      </c>
      <c r="DX110" s="46">
        <f t="shared" si="1702"/>
        <v>28.8</v>
      </c>
      <c r="DY110" s="46">
        <f t="shared" si="1702"/>
        <v>28.8</v>
      </c>
      <c r="DZ110" s="46">
        <f t="shared" si="1702"/>
        <v>28.8</v>
      </c>
      <c r="EA110" s="46">
        <f t="shared" si="1702"/>
        <v>28.8</v>
      </c>
      <c r="EB110" s="46">
        <f t="shared" si="1702"/>
        <v>28.8</v>
      </c>
      <c r="EC110" s="46">
        <f t="shared" si="1702"/>
        <v>28.8</v>
      </c>
      <c r="ED110" s="46">
        <f t="shared" si="1702"/>
        <v>28.8</v>
      </c>
      <c r="EE110" s="46">
        <f t="shared" si="1702"/>
        <v>28.8</v>
      </c>
      <c r="EF110" s="46">
        <f t="shared" si="1702"/>
        <v>28.8</v>
      </c>
      <c r="EG110" s="46">
        <f t="shared" si="1702"/>
        <v>28.8</v>
      </c>
      <c r="EH110" s="46">
        <f t="shared" si="1702"/>
        <v>28.8</v>
      </c>
      <c r="EI110" s="46">
        <f t="shared" si="1702"/>
        <v>28.8</v>
      </c>
      <c r="EL110" s="1" t="s">
        <v>133</v>
      </c>
      <c r="EM110" s="1" t="s">
        <v>14</v>
      </c>
      <c r="EV110" s="46">
        <f>IF(EV114&gt;0, $J100,0)</f>
        <v>28.8</v>
      </c>
      <c r="EW110" s="46">
        <f t="shared" ref="EW110:FI110" si="1703">IF(EW114&gt;0, $J100,0)</f>
        <v>28.8</v>
      </c>
      <c r="EX110" s="46">
        <f t="shared" si="1703"/>
        <v>28.8</v>
      </c>
      <c r="EY110" s="46">
        <f t="shared" si="1703"/>
        <v>28.8</v>
      </c>
      <c r="EZ110" s="46">
        <f t="shared" si="1703"/>
        <v>28.8</v>
      </c>
      <c r="FA110" s="46">
        <f t="shared" si="1703"/>
        <v>28.8</v>
      </c>
      <c r="FB110" s="46">
        <f t="shared" si="1703"/>
        <v>28.8</v>
      </c>
      <c r="FC110" s="46">
        <f t="shared" si="1703"/>
        <v>28.8</v>
      </c>
      <c r="FD110" s="46">
        <f t="shared" si="1703"/>
        <v>28.8</v>
      </c>
      <c r="FE110" s="46">
        <f t="shared" si="1703"/>
        <v>28.8</v>
      </c>
      <c r="FF110" s="46">
        <f t="shared" si="1703"/>
        <v>28.8</v>
      </c>
      <c r="FG110" s="46">
        <f t="shared" si="1703"/>
        <v>28.8</v>
      </c>
      <c r="FH110" s="46">
        <f t="shared" si="1703"/>
        <v>28.8</v>
      </c>
      <c r="FI110" s="46">
        <f t="shared" si="1703"/>
        <v>28.8</v>
      </c>
    </row>
    <row r="111" spans="2:167" x14ac:dyDescent="0.25">
      <c r="B111" s="37"/>
      <c r="G111" s="1" t="s">
        <v>108</v>
      </c>
      <c r="I111" s="1" t="s">
        <v>14</v>
      </c>
      <c r="J111" s="29">
        <f>J110*365</f>
        <v>31752.809999999994</v>
      </c>
      <c r="L111" s="91" t="s">
        <v>134</v>
      </c>
      <c r="M111" s="91" t="s">
        <v>14</v>
      </c>
      <c r="N111" s="93">
        <f t="shared" ref="N111" si="1704">SUM(N109:N110)</f>
        <v>28.8</v>
      </c>
      <c r="O111" s="93">
        <f t="shared" ref="O111" si="1705">SUM(O109:O110)</f>
        <v>28.8</v>
      </c>
      <c r="P111" s="93">
        <f t="shared" ref="P111" si="1706">SUM(P109:P110)</f>
        <v>28.8</v>
      </c>
      <c r="Q111" s="93">
        <f t="shared" ref="Q111" si="1707">SUM(Q109:Q110)</f>
        <v>28.8</v>
      </c>
      <c r="R111" s="93">
        <f t="shared" ref="R111" si="1708">SUM(R109:R110)</f>
        <v>28.8</v>
      </c>
      <c r="S111" s="93">
        <f t="shared" ref="S111" si="1709">SUM(S109:S110)</f>
        <v>28.8</v>
      </c>
      <c r="T111" s="93">
        <f t="shared" ref="T111" si="1710">SUM(T109:T110)</f>
        <v>28.8</v>
      </c>
      <c r="U111" s="93">
        <f t="shared" ref="U111" si="1711">SUM(U109:U110)</f>
        <v>28.8</v>
      </c>
      <c r="V111" s="93">
        <f>SUM(V109:V110)</f>
        <v>28.8</v>
      </c>
      <c r="W111" s="93">
        <f t="shared" ref="W111" si="1712">SUM(W109:W110)</f>
        <v>28.8</v>
      </c>
      <c r="X111" s="93">
        <f t="shared" ref="X111" si="1713">SUM(X109:X110)</f>
        <v>28.8</v>
      </c>
      <c r="Y111" s="93">
        <f t="shared" ref="Y111" si="1714">SUM(Y109:Y110)</f>
        <v>28.8</v>
      </c>
      <c r="Z111" s="93">
        <f t="shared" ref="Z111" si="1715">SUM(Z109:Z110)</f>
        <v>28.8</v>
      </c>
      <c r="AA111" s="93">
        <f t="shared" ref="AA111" si="1716">SUM(AA109:AA110)</f>
        <v>28.8</v>
      </c>
      <c r="AB111" s="93">
        <f t="shared" ref="AB111" si="1717">SUM(AB109:AB110)</f>
        <v>28.8</v>
      </c>
      <c r="AC111" s="93">
        <f t="shared" ref="AC111" si="1718">SUM(AC109:AC110)</f>
        <v>28.8</v>
      </c>
      <c r="AD111" s="93">
        <f t="shared" ref="AD111" si="1719">SUM(AD109:AD110)</f>
        <v>28.8</v>
      </c>
      <c r="AE111" s="93">
        <f t="shared" ref="AE111" si="1720">SUM(AE109:AE110)</f>
        <v>28.8</v>
      </c>
      <c r="AF111" s="93">
        <f t="shared" ref="AF111" si="1721">SUM(AF109:AF110)</f>
        <v>28.8</v>
      </c>
      <c r="AG111" s="93">
        <f t="shared" ref="AG111" si="1722">SUM(AG109:AG110)</f>
        <v>28.8</v>
      </c>
      <c r="AH111" s="93">
        <f t="shared" ref="AH111" si="1723">SUM(AH109:AH110)</f>
        <v>28.8</v>
      </c>
      <c r="AI111" s="93">
        <f t="shared" ref="AI111" si="1724">SUM(AI109:AI110)</f>
        <v>28.8</v>
      </c>
      <c r="AJ111" s="93">
        <f>SUM(AJ109:AJ110)</f>
        <v>28.8</v>
      </c>
      <c r="AK111" s="93">
        <f>SUM(AK109:AK110)</f>
        <v>28.8</v>
      </c>
      <c r="AL111" s="91" t="s">
        <v>134</v>
      </c>
      <c r="AM111" s="91" t="s">
        <v>14</v>
      </c>
      <c r="AN111" s="93">
        <f t="shared" ref="AN111" si="1725">SUM(AN109:AN110)</f>
        <v>28.8</v>
      </c>
      <c r="AO111" s="93">
        <f t="shared" ref="AO111" si="1726">SUM(AO109:AO110)</f>
        <v>28.8</v>
      </c>
      <c r="AP111" s="93">
        <f t="shared" ref="AP111" si="1727">SUM(AP109:AP110)</f>
        <v>28.8</v>
      </c>
      <c r="AQ111" s="93">
        <f t="shared" ref="AQ111" si="1728">SUM(AQ109:AQ110)</f>
        <v>28.8</v>
      </c>
      <c r="AR111" s="93">
        <f t="shared" ref="AR111" si="1729">SUM(AR109:AR110)</f>
        <v>28.8</v>
      </c>
      <c r="AS111" s="93">
        <f t="shared" ref="AS111" si="1730">SUM(AS109:AS110)</f>
        <v>28.8</v>
      </c>
      <c r="AT111" s="93">
        <f t="shared" ref="AT111" si="1731">SUM(AT109:AT110)</f>
        <v>28.8</v>
      </c>
      <c r="AU111" s="93">
        <f t="shared" ref="AU111" si="1732">SUM(AU109:AU110)</f>
        <v>28.8</v>
      </c>
      <c r="AV111" s="93">
        <f>SUM(AV109:AV110)</f>
        <v>28.8</v>
      </c>
      <c r="AW111" s="93">
        <f t="shared" ref="AW111" si="1733">SUM(AW109:AW110)</f>
        <v>28.8</v>
      </c>
      <c r="AX111" s="93">
        <f t="shared" ref="AX111" si="1734">SUM(AX109:AX110)</f>
        <v>28.8</v>
      </c>
      <c r="AY111" s="93">
        <f t="shared" ref="AY111" si="1735">SUM(AY109:AY110)</f>
        <v>28.8</v>
      </c>
      <c r="AZ111" s="93">
        <f t="shared" ref="AZ111" si="1736">SUM(AZ109:AZ110)</f>
        <v>28.8</v>
      </c>
      <c r="BA111" s="93">
        <f t="shared" ref="BA111" si="1737">SUM(BA109:BA110)</f>
        <v>28.8</v>
      </c>
      <c r="BB111" s="93">
        <f t="shared" ref="BB111" si="1738">SUM(BB109:BB110)</f>
        <v>28.8</v>
      </c>
      <c r="BC111" s="93">
        <f t="shared" ref="BC111" si="1739">SUM(BC109:BC110)</f>
        <v>28.8</v>
      </c>
      <c r="BD111" s="93">
        <f t="shared" ref="BD111" si="1740">SUM(BD109:BD110)</f>
        <v>28.8</v>
      </c>
      <c r="BE111" s="93">
        <f t="shared" ref="BE111" si="1741">SUM(BE109:BE110)</f>
        <v>28.8</v>
      </c>
      <c r="BF111" s="93">
        <f t="shared" ref="BF111" si="1742">SUM(BF109:BF110)</f>
        <v>28.8</v>
      </c>
      <c r="BG111" s="93">
        <f t="shared" ref="BG111" si="1743">SUM(BG109:BG110)</f>
        <v>28.8</v>
      </c>
      <c r="BH111" s="93">
        <f t="shared" ref="BH111" si="1744">SUM(BH109:BH110)</f>
        <v>28.8</v>
      </c>
      <c r="BI111" s="93">
        <f t="shared" ref="BI111" si="1745">SUM(BI109:BI110)</f>
        <v>28.8</v>
      </c>
      <c r="BJ111" s="93">
        <f>SUM(BJ109:BJ110)</f>
        <v>28.8</v>
      </c>
      <c r="BK111" s="93">
        <f>SUM(BK109:BK110)</f>
        <v>28.8</v>
      </c>
      <c r="BL111" s="91" t="s">
        <v>134</v>
      </c>
      <c r="BM111" s="91" t="s">
        <v>14</v>
      </c>
      <c r="BN111" s="93">
        <f t="shared" ref="BN111" si="1746">SUM(BN109:BN110)</f>
        <v>28.8</v>
      </c>
      <c r="BO111" s="93">
        <f t="shared" ref="BO111" si="1747">SUM(BO109:BO110)</f>
        <v>28.8</v>
      </c>
      <c r="BP111" s="93">
        <f t="shared" ref="BP111" si="1748">SUM(BP109:BP110)</f>
        <v>28.8</v>
      </c>
      <c r="BQ111" s="93">
        <f t="shared" ref="BQ111" si="1749">SUM(BQ109:BQ110)</f>
        <v>28.8</v>
      </c>
      <c r="BR111" s="93">
        <f t="shared" ref="BR111" si="1750">SUM(BR109:BR110)</f>
        <v>28.8</v>
      </c>
      <c r="BS111" s="93">
        <f t="shared" ref="BS111" si="1751">SUM(BS109:BS110)</f>
        <v>28.8</v>
      </c>
      <c r="BT111" s="93">
        <f t="shared" ref="BT111" si="1752">SUM(BT109:BT110)</f>
        <v>28.8</v>
      </c>
      <c r="BU111" s="93">
        <f t="shared" ref="BU111" si="1753">SUM(BU109:BU110)</f>
        <v>28.8</v>
      </c>
      <c r="BV111" s="93">
        <f>SUM(BV109:BV110)</f>
        <v>28.8</v>
      </c>
      <c r="BW111" s="93">
        <f t="shared" ref="BW111" si="1754">SUM(BW109:BW110)</f>
        <v>28.8</v>
      </c>
      <c r="BX111" s="93">
        <f t="shared" ref="BX111" si="1755">SUM(BX109:BX110)</f>
        <v>28.8</v>
      </c>
      <c r="BY111" s="93">
        <f t="shared" ref="BY111" si="1756">SUM(BY109:BY110)</f>
        <v>28.8</v>
      </c>
      <c r="BZ111" s="93">
        <f t="shared" ref="BZ111" si="1757">SUM(BZ109:BZ110)</f>
        <v>28.8</v>
      </c>
      <c r="CA111" s="93">
        <f t="shared" ref="CA111" si="1758">SUM(CA109:CA110)</f>
        <v>28.8</v>
      </c>
      <c r="CB111" s="93">
        <f t="shared" ref="CB111" si="1759">SUM(CB109:CB110)</f>
        <v>28.8</v>
      </c>
      <c r="CC111" s="93">
        <f t="shared" ref="CC111" si="1760">SUM(CC109:CC110)</f>
        <v>28.8</v>
      </c>
      <c r="CD111" s="93">
        <f t="shared" ref="CD111" si="1761">SUM(CD109:CD110)</f>
        <v>28.8</v>
      </c>
      <c r="CE111" s="93">
        <f t="shared" ref="CE111" si="1762">SUM(CE109:CE110)</f>
        <v>28.8</v>
      </c>
      <c r="CF111" s="93">
        <f t="shared" ref="CF111" si="1763">SUM(CF109:CF110)</f>
        <v>28.8</v>
      </c>
      <c r="CG111" s="93">
        <f t="shared" ref="CG111" si="1764">SUM(CG109:CG110)</f>
        <v>28.8</v>
      </c>
      <c r="CH111" s="93">
        <f t="shared" ref="CH111" si="1765">SUM(CH109:CH110)</f>
        <v>28.8</v>
      </c>
      <c r="CI111" s="93">
        <f t="shared" ref="CI111" si="1766">SUM(CI109:CI110)</f>
        <v>28.8</v>
      </c>
      <c r="CJ111" s="93">
        <f>SUM(CJ109:CJ110)</f>
        <v>28.8</v>
      </c>
      <c r="CK111" s="93">
        <f>SUM(CK109:CK110)</f>
        <v>28.8</v>
      </c>
      <c r="CL111" s="91" t="s">
        <v>134</v>
      </c>
      <c r="CM111" s="91" t="s">
        <v>14</v>
      </c>
      <c r="CN111" s="93">
        <f t="shared" ref="CN111" si="1767">SUM(CN109:CN110)</f>
        <v>28.8</v>
      </c>
      <c r="CO111" s="93">
        <f t="shared" ref="CO111" si="1768">SUM(CO109:CO110)</f>
        <v>28.8</v>
      </c>
      <c r="CP111" s="93">
        <f t="shared" ref="CP111" si="1769">SUM(CP109:CP110)</f>
        <v>28.8</v>
      </c>
      <c r="CQ111" s="93">
        <f t="shared" ref="CQ111" si="1770">SUM(CQ109:CQ110)</f>
        <v>28.8</v>
      </c>
      <c r="CR111" s="93">
        <f t="shared" ref="CR111" si="1771">SUM(CR109:CR110)</f>
        <v>28.8</v>
      </c>
      <c r="CS111" s="93">
        <f t="shared" ref="CS111" si="1772">SUM(CS109:CS110)</f>
        <v>28.8</v>
      </c>
      <c r="CT111" s="93">
        <f t="shared" ref="CT111" si="1773">SUM(CT109:CT110)</f>
        <v>28.8</v>
      </c>
      <c r="CU111" s="93">
        <f t="shared" ref="CU111" si="1774">SUM(CU109:CU110)</f>
        <v>28.8</v>
      </c>
      <c r="CV111" s="93">
        <f>SUM(CV109:CV110)</f>
        <v>28.8</v>
      </c>
      <c r="CW111" s="93">
        <f t="shared" ref="CW111" si="1775">SUM(CW109:CW110)</f>
        <v>28.8</v>
      </c>
      <c r="CX111" s="93">
        <f t="shared" ref="CX111" si="1776">SUM(CX109:CX110)</f>
        <v>28.8</v>
      </c>
      <c r="CY111" s="93">
        <f t="shared" ref="CY111" si="1777">SUM(CY109:CY110)</f>
        <v>28.8</v>
      </c>
      <c r="CZ111" s="93">
        <f t="shared" ref="CZ111" si="1778">SUM(CZ109:CZ110)</f>
        <v>28.8</v>
      </c>
      <c r="DA111" s="93">
        <f t="shared" ref="DA111" si="1779">SUM(DA109:DA110)</f>
        <v>28.8</v>
      </c>
      <c r="DB111" s="93">
        <f t="shared" ref="DB111" si="1780">SUM(DB109:DB110)</f>
        <v>28.8</v>
      </c>
      <c r="DC111" s="93">
        <f t="shared" ref="DC111" si="1781">SUM(DC109:DC110)</f>
        <v>28.8</v>
      </c>
      <c r="DD111" s="93">
        <f t="shared" ref="DD111" si="1782">SUM(DD109:DD110)</f>
        <v>28.8</v>
      </c>
      <c r="DE111" s="93">
        <f t="shared" ref="DE111" si="1783">SUM(DE109:DE110)</f>
        <v>28.8</v>
      </c>
      <c r="DF111" s="93">
        <f t="shared" ref="DF111" si="1784">SUM(DF109:DF110)</f>
        <v>28.8</v>
      </c>
      <c r="DG111" s="93">
        <f t="shared" ref="DG111" si="1785">SUM(DG109:DG110)</f>
        <v>28.8</v>
      </c>
      <c r="DH111" s="93">
        <f t="shared" ref="DH111" si="1786">SUM(DH109:DH110)</f>
        <v>28.8</v>
      </c>
      <c r="DI111" s="93">
        <f t="shared" ref="DI111" si="1787">SUM(DI109:DI110)</f>
        <v>28.8</v>
      </c>
      <c r="DJ111" s="93">
        <f>SUM(DJ109:DJ110)</f>
        <v>28.8</v>
      </c>
      <c r="DK111" s="93">
        <f>SUM(DK109:DK110)</f>
        <v>28.8</v>
      </c>
      <c r="DL111" s="91" t="s">
        <v>134</v>
      </c>
      <c r="DM111" s="91" t="s">
        <v>14</v>
      </c>
      <c r="DN111" s="93">
        <f t="shared" ref="DN111" si="1788">SUM(DN109:DN110)</f>
        <v>28.8</v>
      </c>
      <c r="DO111" s="93">
        <f t="shared" ref="DO111" si="1789">SUM(DO109:DO110)</f>
        <v>28.8</v>
      </c>
      <c r="DP111" s="93">
        <f t="shared" ref="DP111" si="1790">SUM(DP109:DP110)</f>
        <v>28.8</v>
      </c>
      <c r="DQ111" s="93">
        <f t="shared" ref="DQ111" si="1791">SUM(DQ109:DQ110)</f>
        <v>28.8</v>
      </c>
      <c r="DR111" s="93">
        <f t="shared" ref="DR111" si="1792">SUM(DR109:DR110)</f>
        <v>28.8</v>
      </c>
      <c r="DS111" s="93">
        <f t="shared" ref="DS111" si="1793">SUM(DS109:DS110)</f>
        <v>28.8</v>
      </c>
      <c r="DT111" s="93">
        <f t="shared" ref="DT111" si="1794">SUM(DT109:DT110)</f>
        <v>28.8</v>
      </c>
      <c r="DU111" s="93">
        <f t="shared" ref="DU111" si="1795">SUM(DU109:DU110)</f>
        <v>28.8</v>
      </c>
      <c r="DV111" s="93">
        <f>SUM(DV109:DV110)</f>
        <v>28.8</v>
      </c>
      <c r="DW111" s="93">
        <f t="shared" ref="DW111" si="1796">SUM(DW109:DW110)</f>
        <v>28.8</v>
      </c>
      <c r="DX111" s="93">
        <f t="shared" ref="DX111" si="1797">SUM(DX109:DX110)</f>
        <v>28.8</v>
      </c>
      <c r="DY111" s="93">
        <f t="shared" ref="DY111" si="1798">SUM(DY109:DY110)</f>
        <v>28.8</v>
      </c>
      <c r="DZ111" s="93">
        <f t="shared" ref="DZ111" si="1799">SUM(DZ109:DZ110)</f>
        <v>28.8</v>
      </c>
      <c r="EA111" s="93">
        <f t="shared" ref="EA111" si="1800">SUM(EA109:EA110)</f>
        <v>28.8</v>
      </c>
      <c r="EB111" s="93">
        <f t="shared" ref="EB111" si="1801">SUM(EB109:EB110)</f>
        <v>28.8</v>
      </c>
      <c r="EC111" s="93">
        <f t="shared" ref="EC111" si="1802">SUM(EC109:EC110)</f>
        <v>28.8</v>
      </c>
      <c r="ED111" s="93">
        <f t="shared" ref="ED111" si="1803">SUM(ED109:ED110)</f>
        <v>28.8</v>
      </c>
      <c r="EE111" s="93">
        <f t="shared" ref="EE111" si="1804">SUM(EE109:EE110)</f>
        <v>28.8</v>
      </c>
      <c r="EF111" s="93">
        <f t="shared" ref="EF111" si="1805">SUM(EF109:EF110)</f>
        <v>28.8</v>
      </c>
      <c r="EG111" s="93">
        <f t="shared" ref="EG111" si="1806">SUM(EG109:EG110)</f>
        <v>28.8</v>
      </c>
      <c r="EH111" s="93">
        <f t="shared" ref="EH111" si="1807">SUM(EH109:EH110)</f>
        <v>28.8</v>
      </c>
      <c r="EI111" s="93">
        <f t="shared" ref="EI111" si="1808">SUM(EI109:EI110)</f>
        <v>28.8</v>
      </c>
      <c r="EJ111" s="93">
        <f>SUM(EJ109:EJ110)</f>
        <v>28.8</v>
      </c>
      <c r="EK111" s="93">
        <f>SUM(EK109:EK110)</f>
        <v>28.8</v>
      </c>
      <c r="EL111" s="91" t="s">
        <v>134</v>
      </c>
      <c r="EM111" s="91" t="s">
        <v>14</v>
      </c>
      <c r="EN111" s="93">
        <f t="shared" ref="EN111" si="1809">SUM(EN109:EN110)</f>
        <v>28.8</v>
      </c>
      <c r="EO111" s="93">
        <f t="shared" ref="EO111" si="1810">SUM(EO109:EO110)</f>
        <v>28.8</v>
      </c>
      <c r="EP111" s="93">
        <f t="shared" ref="EP111" si="1811">SUM(EP109:EP110)</f>
        <v>28.8</v>
      </c>
      <c r="EQ111" s="93">
        <f t="shared" ref="EQ111" si="1812">SUM(EQ109:EQ110)</f>
        <v>28.8</v>
      </c>
      <c r="ER111" s="93">
        <f t="shared" ref="ER111" si="1813">SUM(ER109:ER110)</f>
        <v>28.8</v>
      </c>
      <c r="ES111" s="93">
        <f t="shared" ref="ES111" si="1814">SUM(ES109:ES110)</f>
        <v>28.8</v>
      </c>
      <c r="ET111" s="93">
        <f t="shared" ref="ET111" si="1815">SUM(ET109:ET110)</f>
        <v>28.8</v>
      </c>
      <c r="EU111" s="93">
        <f t="shared" ref="EU111" si="1816">SUM(EU109:EU110)</f>
        <v>28.8</v>
      </c>
      <c r="EV111" s="93">
        <f>SUM(EV109:EV110)</f>
        <v>28.8</v>
      </c>
      <c r="EW111" s="93">
        <f t="shared" ref="EW111" si="1817">SUM(EW109:EW110)</f>
        <v>28.8</v>
      </c>
      <c r="EX111" s="93">
        <f t="shared" ref="EX111" si="1818">SUM(EX109:EX110)</f>
        <v>28.8</v>
      </c>
      <c r="EY111" s="93">
        <f t="shared" ref="EY111" si="1819">SUM(EY109:EY110)</f>
        <v>28.8</v>
      </c>
      <c r="EZ111" s="93">
        <f t="shared" ref="EZ111" si="1820">SUM(EZ109:EZ110)</f>
        <v>28.8</v>
      </c>
      <c r="FA111" s="93">
        <f t="shared" ref="FA111" si="1821">SUM(FA109:FA110)</f>
        <v>28.8</v>
      </c>
      <c r="FB111" s="93">
        <f t="shared" ref="FB111" si="1822">SUM(FB109:FB110)</f>
        <v>28.8</v>
      </c>
      <c r="FC111" s="93">
        <f t="shared" ref="FC111" si="1823">SUM(FC109:FC110)</f>
        <v>28.8</v>
      </c>
      <c r="FD111" s="93">
        <f t="shared" ref="FD111" si="1824">SUM(FD109:FD110)</f>
        <v>28.8</v>
      </c>
      <c r="FE111" s="93">
        <f t="shared" ref="FE111" si="1825">SUM(FE109:FE110)</f>
        <v>28.8</v>
      </c>
      <c r="FF111" s="93">
        <f t="shared" ref="FF111" si="1826">SUM(FF109:FF110)</f>
        <v>28.8</v>
      </c>
      <c r="FG111" s="93">
        <f t="shared" ref="FG111" si="1827">SUM(FG109:FG110)</f>
        <v>28.8</v>
      </c>
      <c r="FH111" s="93">
        <f t="shared" ref="FH111" si="1828">SUM(FH109:FH110)</f>
        <v>28.8</v>
      </c>
      <c r="FI111" s="93">
        <f t="shared" ref="FI111" si="1829">SUM(FI109:FI110)</f>
        <v>28.8</v>
      </c>
      <c r="FJ111" s="93">
        <f>SUM(FJ109:FJ110)</f>
        <v>28.8</v>
      </c>
      <c r="FK111" s="93">
        <f>SUM(FK109:FK110)</f>
        <v>28.8</v>
      </c>
    </row>
    <row r="112" spans="2:167" x14ac:dyDescent="0.25">
      <c r="B112" s="54" t="s">
        <v>36</v>
      </c>
      <c r="J112" s="38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1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1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1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1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1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  <c r="EX112" s="25"/>
      <c r="EY112" s="25"/>
      <c r="EZ112" s="25"/>
      <c r="FA112" s="25"/>
      <c r="FB112" s="25"/>
      <c r="FC112" s="25"/>
      <c r="FD112" s="25"/>
      <c r="FE112" s="25"/>
      <c r="FF112" s="25"/>
      <c r="FG112" s="25"/>
      <c r="FH112" s="25"/>
      <c r="FI112" s="25"/>
      <c r="FJ112" s="25"/>
      <c r="FK112" s="25"/>
    </row>
    <row r="113" spans="2:167" x14ac:dyDescent="0.25">
      <c r="B113" s="37" t="s">
        <v>29</v>
      </c>
      <c r="D113" s="1" t="s">
        <v>27</v>
      </c>
      <c r="E113" s="130">
        <f>$R$13</f>
        <v>17</v>
      </c>
      <c r="G113" s="2" t="s">
        <v>257</v>
      </c>
      <c r="J113" s="38"/>
      <c r="L113" s="19"/>
      <c r="M113" s="19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19"/>
      <c r="AM113" s="19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19"/>
      <c r="BM113" s="19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19"/>
      <c r="CM113" s="19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  <c r="DE113" s="47"/>
      <c r="DF113" s="47"/>
      <c r="DG113" s="47"/>
      <c r="DH113" s="47"/>
      <c r="DI113" s="47"/>
      <c r="DJ113" s="47"/>
      <c r="DK113" s="47"/>
      <c r="DL113" s="19"/>
      <c r="DM113" s="19"/>
      <c r="DN113" s="47"/>
      <c r="DO113" s="47"/>
      <c r="DP113" s="47"/>
      <c r="DQ113" s="47"/>
      <c r="DR113" s="47"/>
      <c r="DS113" s="47"/>
      <c r="DT113" s="47"/>
      <c r="DU113" s="47"/>
      <c r="DV113" s="47"/>
      <c r="DW113" s="47"/>
      <c r="DX113" s="47"/>
      <c r="DY113" s="47"/>
      <c r="DZ113" s="47"/>
      <c r="EA113" s="47"/>
      <c r="EB113" s="47"/>
      <c r="EC113" s="47"/>
      <c r="ED113" s="47"/>
      <c r="EE113" s="47"/>
      <c r="EF113" s="47"/>
      <c r="EG113" s="47"/>
      <c r="EH113" s="47"/>
      <c r="EI113" s="47"/>
      <c r="EJ113" s="47"/>
      <c r="EK113" s="47"/>
      <c r="EL113" s="19"/>
      <c r="EM113" s="19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  <c r="FF113" s="47"/>
      <c r="FG113" s="47"/>
      <c r="FH113" s="47"/>
      <c r="FI113" s="47"/>
      <c r="FJ113" s="47"/>
      <c r="FK113" s="47"/>
    </row>
    <row r="114" spans="2:167" x14ac:dyDescent="0.25">
      <c r="B114" s="37" t="s">
        <v>28</v>
      </c>
      <c r="D114" s="1" t="s">
        <v>30</v>
      </c>
      <c r="E114" s="13">
        <f>E113*365</f>
        <v>6205</v>
      </c>
      <c r="G114" s="1" t="s">
        <v>33</v>
      </c>
      <c r="I114" s="1" t="s">
        <v>19</v>
      </c>
      <c r="J114" s="10">
        <f>J79</f>
        <v>800</v>
      </c>
      <c r="L114" s="2" t="s">
        <v>68</v>
      </c>
      <c r="M114" s="2" t="s">
        <v>14</v>
      </c>
      <c r="N114" s="92">
        <v>0</v>
      </c>
      <c r="O114" s="92">
        <f t="shared" ref="O114:U114" si="1830">IF(O$16&gt;0,$J105,0)</f>
        <v>0</v>
      </c>
      <c r="P114" s="92">
        <f t="shared" si="1830"/>
        <v>0</v>
      </c>
      <c r="Q114" s="92">
        <f t="shared" si="1830"/>
        <v>0</v>
      </c>
      <c r="R114" s="92">
        <f t="shared" si="1830"/>
        <v>0</v>
      </c>
      <c r="S114" s="92">
        <f t="shared" si="1830"/>
        <v>32.400000000000006</v>
      </c>
      <c r="T114" s="92">
        <f t="shared" si="1830"/>
        <v>32.400000000000006</v>
      </c>
      <c r="U114" s="92">
        <f t="shared" si="1830"/>
        <v>32.400000000000006</v>
      </c>
      <c r="V114" s="92">
        <f>IF(V$16&gt;0,$J105,0)</f>
        <v>32.400000000000006</v>
      </c>
      <c r="W114" s="92">
        <f t="shared" ref="W114:AK114" si="1831">IF(W$16&gt;0,$J105,0)</f>
        <v>32.400000000000006</v>
      </c>
      <c r="X114" s="92">
        <f t="shared" si="1831"/>
        <v>32.400000000000006</v>
      </c>
      <c r="Y114" s="92">
        <f t="shared" si="1831"/>
        <v>32.400000000000006</v>
      </c>
      <c r="Z114" s="92">
        <f t="shared" si="1831"/>
        <v>32.400000000000006</v>
      </c>
      <c r="AA114" s="92">
        <f t="shared" si="1831"/>
        <v>32.400000000000006</v>
      </c>
      <c r="AB114" s="92">
        <f t="shared" si="1831"/>
        <v>32.400000000000006</v>
      </c>
      <c r="AC114" s="92">
        <f t="shared" si="1831"/>
        <v>32.400000000000006</v>
      </c>
      <c r="AD114" s="92">
        <f t="shared" si="1831"/>
        <v>32.400000000000006</v>
      </c>
      <c r="AE114" s="92">
        <f t="shared" si="1831"/>
        <v>32.400000000000006</v>
      </c>
      <c r="AF114" s="92">
        <f t="shared" si="1831"/>
        <v>32.400000000000006</v>
      </c>
      <c r="AG114" s="92">
        <f t="shared" si="1831"/>
        <v>32.400000000000006</v>
      </c>
      <c r="AH114" s="92">
        <f t="shared" si="1831"/>
        <v>32.400000000000006</v>
      </c>
      <c r="AI114" s="92">
        <f t="shared" si="1831"/>
        <v>32.400000000000006</v>
      </c>
      <c r="AJ114" s="92">
        <f t="shared" si="1831"/>
        <v>0</v>
      </c>
      <c r="AK114" s="92">
        <f t="shared" si="1831"/>
        <v>0</v>
      </c>
      <c r="AL114" s="2" t="s">
        <v>68</v>
      </c>
      <c r="AM114" s="2" t="s">
        <v>14</v>
      </c>
      <c r="AN114" s="92">
        <v>0</v>
      </c>
      <c r="AO114" s="92">
        <f t="shared" ref="AO114:AU114" si="1832">IF(AO$16&gt;0,$J105,0)</f>
        <v>0</v>
      </c>
      <c r="AP114" s="92">
        <f t="shared" si="1832"/>
        <v>0</v>
      </c>
      <c r="AQ114" s="92">
        <f t="shared" si="1832"/>
        <v>0</v>
      </c>
      <c r="AR114" s="92">
        <f t="shared" si="1832"/>
        <v>0</v>
      </c>
      <c r="AS114" s="92">
        <f t="shared" si="1832"/>
        <v>32.400000000000006</v>
      </c>
      <c r="AT114" s="92">
        <f t="shared" si="1832"/>
        <v>32.400000000000006</v>
      </c>
      <c r="AU114" s="92">
        <f t="shared" si="1832"/>
        <v>32.400000000000006</v>
      </c>
      <c r="AV114" s="92">
        <f>IF(AV$16&gt;0,$J105,0)</f>
        <v>32.400000000000006</v>
      </c>
      <c r="AW114" s="92">
        <f t="shared" ref="AW114:BK114" si="1833">IF(AW$16&gt;0,$J105,0)</f>
        <v>32.400000000000006</v>
      </c>
      <c r="AX114" s="92">
        <f t="shared" si="1833"/>
        <v>32.400000000000006</v>
      </c>
      <c r="AY114" s="92">
        <f t="shared" si="1833"/>
        <v>32.400000000000006</v>
      </c>
      <c r="AZ114" s="92">
        <f t="shared" si="1833"/>
        <v>32.400000000000006</v>
      </c>
      <c r="BA114" s="92">
        <f t="shared" si="1833"/>
        <v>32.400000000000006</v>
      </c>
      <c r="BB114" s="92">
        <f t="shared" si="1833"/>
        <v>32.400000000000006</v>
      </c>
      <c r="BC114" s="92">
        <f t="shared" si="1833"/>
        <v>32.400000000000006</v>
      </c>
      <c r="BD114" s="92">
        <f t="shared" si="1833"/>
        <v>32.400000000000006</v>
      </c>
      <c r="BE114" s="92">
        <f t="shared" si="1833"/>
        <v>32.400000000000006</v>
      </c>
      <c r="BF114" s="92">
        <f t="shared" si="1833"/>
        <v>32.400000000000006</v>
      </c>
      <c r="BG114" s="92">
        <f t="shared" si="1833"/>
        <v>32.400000000000006</v>
      </c>
      <c r="BH114" s="92">
        <f t="shared" si="1833"/>
        <v>32.400000000000006</v>
      </c>
      <c r="BI114" s="92">
        <f t="shared" si="1833"/>
        <v>32.400000000000006</v>
      </c>
      <c r="BJ114" s="92">
        <f t="shared" si="1833"/>
        <v>32.400000000000006</v>
      </c>
      <c r="BK114" s="92">
        <f t="shared" si="1833"/>
        <v>32.400000000000006</v>
      </c>
      <c r="BL114" s="2" t="s">
        <v>68</v>
      </c>
      <c r="BM114" s="2" t="s">
        <v>14</v>
      </c>
      <c r="BN114" s="92">
        <v>0</v>
      </c>
      <c r="BO114" s="92">
        <f t="shared" ref="BO114:BU114" si="1834">IF(BO$16&gt;0,$J105,0)</f>
        <v>0</v>
      </c>
      <c r="BP114" s="92">
        <f t="shared" si="1834"/>
        <v>0</v>
      </c>
      <c r="BQ114" s="92">
        <f t="shared" si="1834"/>
        <v>0</v>
      </c>
      <c r="BR114" s="92">
        <f t="shared" si="1834"/>
        <v>0</v>
      </c>
      <c r="BS114" s="92">
        <f t="shared" si="1834"/>
        <v>32.400000000000006</v>
      </c>
      <c r="BT114" s="92">
        <f t="shared" si="1834"/>
        <v>32.400000000000006</v>
      </c>
      <c r="BU114" s="92">
        <f t="shared" si="1834"/>
        <v>32.400000000000006</v>
      </c>
      <c r="BV114" s="92">
        <f>IF(BV$16&gt;0,$J105,0)</f>
        <v>32.400000000000006</v>
      </c>
      <c r="BW114" s="92">
        <f t="shared" ref="BW114:CK114" si="1835">IF(BW$16&gt;0,$J105,0)</f>
        <v>32.400000000000006</v>
      </c>
      <c r="BX114" s="92">
        <f t="shared" si="1835"/>
        <v>32.400000000000006</v>
      </c>
      <c r="BY114" s="92">
        <f t="shared" si="1835"/>
        <v>32.400000000000006</v>
      </c>
      <c r="BZ114" s="92">
        <f t="shared" si="1835"/>
        <v>32.400000000000006</v>
      </c>
      <c r="CA114" s="92">
        <f t="shared" si="1835"/>
        <v>32.400000000000006</v>
      </c>
      <c r="CB114" s="92">
        <f t="shared" si="1835"/>
        <v>32.400000000000006</v>
      </c>
      <c r="CC114" s="92">
        <f t="shared" si="1835"/>
        <v>32.400000000000006</v>
      </c>
      <c r="CD114" s="92">
        <f t="shared" si="1835"/>
        <v>32.400000000000006</v>
      </c>
      <c r="CE114" s="92">
        <f t="shared" si="1835"/>
        <v>32.400000000000006</v>
      </c>
      <c r="CF114" s="92">
        <f t="shared" si="1835"/>
        <v>32.400000000000006</v>
      </c>
      <c r="CG114" s="92">
        <f t="shared" si="1835"/>
        <v>32.400000000000006</v>
      </c>
      <c r="CH114" s="92">
        <f t="shared" si="1835"/>
        <v>32.400000000000006</v>
      </c>
      <c r="CI114" s="92">
        <f t="shared" si="1835"/>
        <v>32.400000000000006</v>
      </c>
      <c r="CJ114" s="92">
        <f t="shared" si="1835"/>
        <v>32.400000000000006</v>
      </c>
      <c r="CK114" s="92">
        <f t="shared" si="1835"/>
        <v>0</v>
      </c>
      <c r="CL114" s="2" t="s">
        <v>68</v>
      </c>
      <c r="CM114" s="2" t="s">
        <v>14</v>
      </c>
      <c r="CN114" s="92">
        <v>0</v>
      </c>
      <c r="CO114" s="92">
        <f t="shared" ref="CO114:CU114" si="1836">IF(CO$16&gt;0,$J105,0)</f>
        <v>0</v>
      </c>
      <c r="CP114" s="92">
        <f t="shared" si="1836"/>
        <v>0</v>
      </c>
      <c r="CQ114" s="92">
        <f t="shared" si="1836"/>
        <v>0</v>
      </c>
      <c r="CR114" s="92">
        <f t="shared" si="1836"/>
        <v>32.400000000000006</v>
      </c>
      <c r="CS114" s="92">
        <f t="shared" si="1836"/>
        <v>32.400000000000006</v>
      </c>
      <c r="CT114" s="92">
        <f t="shared" si="1836"/>
        <v>32.400000000000006</v>
      </c>
      <c r="CU114" s="92">
        <f t="shared" si="1836"/>
        <v>32.400000000000006</v>
      </c>
      <c r="CV114" s="92">
        <f>IF(CV$16&gt;0,$J105,0)</f>
        <v>32.400000000000006</v>
      </c>
      <c r="CW114" s="92">
        <f t="shared" ref="CW114:DK114" si="1837">IF(CW$16&gt;0,$J105,0)</f>
        <v>32.400000000000006</v>
      </c>
      <c r="CX114" s="92">
        <f t="shared" si="1837"/>
        <v>32.400000000000006</v>
      </c>
      <c r="CY114" s="92">
        <f t="shared" si="1837"/>
        <v>32.400000000000006</v>
      </c>
      <c r="CZ114" s="92">
        <f t="shared" si="1837"/>
        <v>32.400000000000006</v>
      </c>
      <c r="DA114" s="92">
        <f t="shared" si="1837"/>
        <v>32.400000000000006</v>
      </c>
      <c r="DB114" s="92">
        <f t="shared" si="1837"/>
        <v>32.400000000000006</v>
      </c>
      <c r="DC114" s="92">
        <f t="shared" si="1837"/>
        <v>32.400000000000006</v>
      </c>
      <c r="DD114" s="92">
        <f t="shared" si="1837"/>
        <v>32.400000000000006</v>
      </c>
      <c r="DE114" s="92">
        <f t="shared" si="1837"/>
        <v>32.400000000000006</v>
      </c>
      <c r="DF114" s="92">
        <f t="shared" si="1837"/>
        <v>32.400000000000006</v>
      </c>
      <c r="DG114" s="92">
        <f t="shared" si="1837"/>
        <v>32.400000000000006</v>
      </c>
      <c r="DH114" s="92">
        <f t="shared" si="1837"/>
        <v>32.400000000000006</v>
      </c>
      <c r="DI114" s="92">
        <f t="shared" si="1837"/>
        <v>32.400000000000006</v>
      </c>
      <c r="DJ114" s="92">
        <f t="shared" si="1837"/>
        <v>32.400000000000006</v>
      </c>
      <c r="DK114" s="92">
        <f t="shared" si="1837"/>
        <v>32.400000000000006</v>
      </c>
      <c r="DL114" s="2" t="s">
        <v>68</v>
      </c>
      <c r="DM114" s="2" t="s">
        <v>14</v>
      </c>
      <c r="DN114" s="92">
        <v>0</v>
      </c>
      <c r="DO114" s="92">
        <f t="shared" ref="DO114:DU114" si="1838">IF(DO$16&gt;0,$J105,0)</f>
        <v>0</v>
      </c>
      <c r="DP114" s="92">
        <f t="shared" si="1838"/>
        <v>0</v>
      </c>
      <c r="DQ114" s="92">
        <f t="shared" si="1838"/>
        <v>0</v>
      </c>
      <c r="DR114" s="92">
        <f t="shared" si="1838"/>
        <v>32.400000000000006</v>
      </c>
      <c r="DS114" s="92">
        <f t="shared" si="1838"/>
        <v>32.400000000000006</v>
      </c>
      <c r="DT114" s="92">
        <f t="shared" si="1838"/>
        <v>32.400000000000006</v>
      </c>
      <c r="DU114" s="92">
        <f t="shared" si="1838"/>
        <v>32.400000000000006</v>
      </c>
      <c r="DV114" s="92">
        <f>IF(DV$16&gt;0,$J105,0)</f>
        <v>32.400000000000006</v>
      </c>
      <c r="DW114" s="92">
        <f t="shared" ref="DW114:EK114" si="1839">IF(DW$16&gt;0,$J105,0)</f>
        <v>32.400000000000006</v>
      </c>
      <c r="DX114" s="92">
        <f t="shared" si="1839"/>
        <v>32.400000000000006</v>
      </c>
      <c r="DY114" s="92">
        <f t="shared" si="1839"/>
        <v>32.400000000000006</v>
      </c>
      <c r="DZ114" s="92">
        <f t="shared" si="1839"/>
        <v>32.400000000000006</v>
      </c>
      <c r="EA114" s="92">
        <f t="shared" si="1839"/>
        <v>32.400000000000006</v>
      </c>
      <c r="EB114" s="92">
        <f t="shared" si="1839"/>
        <v>32.400000000000006</v>
      </c>
      <c r="EC114" s="92">
        <f t="shared" si="1839"/>
        <v>32.400000000000006</v>
      </c>
      <c r="ED114" s="92">
        <f t="shared" si="1839"/>
        <v>32.400000000000006</v>
      </c>
      <c r="EE114" s="92">
        <f t="shared" si="1839"/>
        <v>32.400000000000006</v>
      </c>
      <c r="EF114" s="92">
        <f t="shared" si="1839"/>
        <v>32.400000000000006</v>
      </c>
      <c r="EG114" s="92">
        <f t="shared" si="1839"/>
        <v>32.400000000000006</v>
      </c>
      <c r="EH114" s="92">
        <f t="shared" si="1839"/>
        <v>32.400000000000006</v>
      </c>
      <c r="EI114" s="92">
        <f t="shared" si="1839"/>
        <v>32.400000000000006</v>
      </c>
      <c r="EJ114" s="92">
        <f t="shared" si="1839"/>
        <v>32.400000000000006</v>
      </c>
      <c r="EK114" s="92">
        <f t="shared" si="1839"/>
        <v>32.400000000000006</v>
      </c>
      <c r="EL114" s="2" t="s">
        <v>68</v>
      </c>
      <c r="EM114" s="2" t="s">
        <v>14</v>
      </c>
      <c r="EN114" s="92">
        <v>0</v>
      </c>
      <c r="EO114" s="92">
        <f t="shared" ref="EO114:EU114" si="1840">IF(EO$16&gt;0,$J105,0)</f>
        <v>32.400000000000006</v>
      </c>
      <c r="EP114" s="92">
        <f t="shared" si="1840"/>
        <v>32.400000000000006</v>
      </c>
      <c r="EQ114" s="92">
        <f t="shared" si="1840"/>
        <v>32.400000000000006</v>
      </c>
      <c r="ER114" s="92">
        <f t="shared" si="1840"/>
        <v>32.400000000000006</v>
      </c>
      <c r="ES114" s="92">
        <f t="shared" si="1840"/>
        <v>32.400000000000006</v>
      </c>
      <c r="ET114" s="92">
        <f t="shared" si="1840"/>
        <v>32.400000000000006</v>
      </c>
      <c r="EU114" s="92">
        <f t="shared" si="1840"/>
        <v>32.400000000000006</v>
      </c>
      <c r="EV114" s="92">
        <f>IF(EV$16&gt;0,$J105,0)</f>
        <v>32.400000000000006</v>
      </c>
      <c r="EW114" s="92">
        <f t="shared" ref="EW114:FK114" si="1841">IF(EW$16&gt;0,$J105,0)</f>
        <v>32.400000000000006</v>
      </c>
      <c r="EX114" s="92">
        <f t="shared" si="1841"/>
        <v>32.400000000000006</v>
      </c>
      <c r="EY114" s="92">
        <f t="shared" si="1841"/>
        <v>32.400000000000006</v>
      </c>
      <c r="EZ114" s="92">
        <f t="shared" si="1841"/>
        <v>32.400000000000006</v>
      </c>
      <c r="FA114" s="92">
        <f t="shared" si="1841"/>
        <v>32.400000000000006</v>
      </c>
      <c r="FB114" s="92">
        <f t="shared" si="1841"/>
        <v>32.400000000000006</v>
      </c>
      <c r="FC114" s="92">
        <f t="shared" si="1841"/>
        <v>32.400000000000006</v>
      </c>
      <c r="FD114" s="92">
        <f t="shared" si="1841"/>
        <v>32.400000000000006</v>
      </c>
      <c r="FE114" s="92">
        <f t="shared" si="1841"/>
        <v>32.400000000000006</v>
      </c>
      <c r="FF114" s="92">
        <f t="shared" si="1841"/>
        <v>32.400000000000006</v>
      </c>
      <c r="FG114" s="92">
        <f t="shared" si="1841"/>
        <v>32.400000000000006</v>
      </c>
      <c r="FH114" s="92">
        <f t="shared" si="1841"/>
        <v>32.400000000000006</v>
      </c>
      <c r="FI114" s="92">
        <f t="shared" si="1841"/>
        <v>32.400000000000006</v>
      </c>
      <c r="FJ114" s="92">
        <f t="shared" si="1841"/>
        <v>32.400000000000006</v>
      </c>
      <c r="FK114" s="92">
        <f t="shared" si="1841"/>
        <v>32.400000000000006</v>
      </c>
    </row>
    <row r="115" spans="2:167" x14ac:dyDescent="0.25">
      <c r="B115" s="37" t="s">
        <v>31</v>
      </c>
      <c r="D115" s="1" t="s">
        <v>6</v>
      </c>
      <c r="E115" s="14">
        <v>0.2</v>
      </c>
      <c r="G115" s="1" t="s">
        <v>181</v>
      </c>
      <c r="I115" s="1" t="s">
        <v>14</v>
      </c>
      <c r="J115" s="89">
        <f>J80</f>
        <v>54</v>
      </c>
      <c r="L115" s="1" t="s">
        <v>187</v>
      </c>
      <c r="M115" s="1" t="s">
        <v>14</v>
      </c>
      <c r="O115" s="25">
        <f t="shared" ref="O115" si="1842">IF(O114=0,0,IF(O114&gt;O111,O114-O111,0))</f>
        <v>0</v>
      </c>
      <c r="P115" s="25">
        <f t="shared" ref="P115" si="1843">IF(P114=0,0,IF(P114&gt;P111,P114-P111,0))</f>
        <v>0</v>
      </c>
      <c r="Q115" s="25">
        <f t="shared" ref="Q115" si="1844">IF(Q114=0,0,IF(Q114&gt;Q111,Q114-Q111,0))</f>
        <v>0</v>
      </c>
      <c r="R115" s="25">
        <f t="shared" ref="R115" si="1845">IF(R114=0,0,IF(R114&gt;R111,R114-R111,0))</f>
        <v>0</v>
      </c>
      <c r="S115" s="25">
        <f t="shared" ref="S115" si="1846">IF(S114=0,0,IF(S114&gt;S111,S114-S111,0))</f>
        <v>3.600000000000005</v>
      </c>
      <c r="T115" s="25">
        <f t="shared" ref="T115" si="1847">IF(T114=0,0,IF(T114&gt;T111,T114-T111,0))</f>
        <v>3.600000000000005</v>
      </c>
      <c r="U115" s="25">
        <f t="shared" ref="U115" si="1848">IF(U114=0,0,IF(U114&gt;U111,U114-U111,0))</f>
        <v>3.600000000000005</v>
      </c>
      <c r="V115" s="25">
        <f>IF(V114=0,0,IF(V114&gt;V111,V114-V111,0))</f>
        <v>3.600000000000005</v>
      </c>
      <c r="W115" s="25">
        <f t="shared" ref="W115" si="1849">IF(W114=0,0,IF(W114&gt;W111,W114-W111,0))</f>
        <v>3.600000000000005</v>
      </c>
      <c r="X115" s="25">
        <f t="shared" ref="X115" si="1850">IF(X114=0,0,IF(X114&gt;X111,X114-X111,0))</f>
        <v>3.600000000000005</v>
      </c>
      <c r="Y115" s="25">
        <f t="shared" ref="Y115" si="1851">IF(Y114=0,0,IF(Y114&gt;Y111,Y114-Y111,0))</f>
        <v>3.600000000000005</v>
      </c>
      <c r="Z115" s="25">
        <f t="shared" ref="Z115" si="1852">IF(Z114=0,0,IF(Z114&gt;Z111,Z114-Z111,0))</f>
        <v>3.600000000000005</v>
      </c>
      <c r="AA115" s="25">
        <f t="shared" ref="AA115" si="1853">IF(AA114=0,0,IF(AA114&gt;AA111,AA114-AA111,0))</f>
        <v>3.600000000000005</v>
      </c>
      <c r="AB115" s="25">
        <f t="shared" ref="AB115" si="1854">IF(AB114=0,0,IF(AB114&gt;AB111,AB114-AB111,0))</f>
        <v>3.600000000000005</v>
      </c>
      <c r="AC115" s="25">
        <f t="shared" ref="AC115" si="1855">IF(AC114=0,0,IF(AC114&gt;AC111,AC114-AC111,0))</f>
        <v>3.600000000000005</v>
      </c>
      <c r="AD115" s="25">
        <f t="shared" ref="AD115" si="1856">IF(AD114=0,0,IF(AD114&gt;AD111,AD114-AD111,0))</f>
        <v>3.600000000000005</v>
      </c>
      <c r="AE115" s="25">
        <f t="shared" ref="AE115" si="1857">IF(AE114=0,0,IF(AE114&gt;AE111,AE114-AE111,0))</f>
        <v>3.600000000000005</v>
      </c>
      <c r="AF115" s="25">
        <f t="shared" ref="AF115" si="1858">IF(AF114=0,0,IF(AF114&gt;AF111,AF114-AF111,0))</f>
        <v>3.600000000000005</v>
      </c>
      <c r="AG115" s="25">
        <f t="shared" ref="AG115" si="1859">IF(AG114=0,0,IF(AG114&gt;AG111,AG114-AG111,0))</f>
        <v>3.600000000000005</v>
      </c>
      <c r="AH115" s="25">
        <f t="shared" ref="AH115" si="1860">IF(AH114=0,0,IF(AH114&gt;AH111,AH114-AH111,0))</f>
        <v>3.600000000000005</v>
      </c>
      <c r="AI115" s="25">
        <f t="shared" ref="AI115" si="1861">IF(AI114=0,0,IF(AI114&gt;AI111,AI114-AI111,0))</f>
        <v>3.600000000000005</v>
      </c>
      <c r="AJ115" s="25">
        <f t="shared" ref="AJ115" si="1862">IF(AJ114=0,0,IF(AJ114&gt;AJ111,AJ114-AJ111,0))</f>
        <v>0</v>
      </c>
      <c r="AK115" s="25">
        <f t="shared" ref="AK115" si="1863">IF(AK114=0,0,IF(AK114&gt;AK111,AK114-AK111,0))</f>
        <v>0</v>
      </c>
      <c r="AL115" s="1" t="s">
        <v>187</v>
      </c>
      <c r="AM115" s="1" t="s">
        <v>14</v>
      </c>
      <c r="AO115" s="25">
        <f t="shared" ref="AO115" si="1864">IF(AO114=0,0,IF(AO114&gt;AO111,AO114-AO111,0))</f>
        <v>0</v>
      </c>
      <c r="AP115" s="25">
        <f t="shared" ref="AP115" si="1865">IF(AP114=0,0,IF(AP114&gt;AP111,AP114-AP111,0))</f>
        <v>0</v>
      </c>
      <c r="AQ115" s="25">
        <f t="shared" ref="AQ115" si="1866">IF(AQ114=0,0,IF(AQ114&gt;AQ111,AQ114-AQ111,0))</f>
        <v>0</v>
      </c>
      <c r="AR115" s="25">
        <f t="shared" ref="AR115" si="1867">IF(AR114=0,0,IF(AR114&gt;AR111,AR114-AR111,0))</f>
        <v>0</v>
      </c>
      <c r="AS115" s="25">
        <f t="shared" ref="AS115" si="1868">IF(AS114=0,0,IF(AS114&gt;AS111,AS114-AS111,0))</f>
        <v>3.600000000000005</v>
      </c>
      <c r="AT115" s="25">
        <f t="shared" ref="AT115" si="1869">IF(AT114=0,0,IF(AT114&gt;AT111,AT114-AT111,0))</f>
        <v>3.600000000000005</v>
      </c>
      <c r="AU115" s="25">
        <f t="shared" ref="AU115" si="1870">IF(AU114=0,0,IF(AU114&gt;AU111,AU114-AU111,0))</f>
        <v>3.600000000000005</v>
      </c>
      <c r="AV115" s="25">
        <f>IF(AV114=0,0,IF(AV114&gt;AV111,AV114-AV111,0))</f>
        <v>3.600000000000005</v>
      </c>
      <c r="AW115" s="25">
        <f t="shared" ref="AW115" si="1871">IF(AW114=0,0,IF(AW114&gt;AW111,AW114-AW111,0))</f>
        <v>3.600000000000005</v>
      </c>
      <c r="AX115" s="25">
        <f t="shared" ref="AX115" si="1872">IF(AX114=0,0,IF(AX114&gt;AX111,AX114-AX111,0))</f>
        <v>3.600000000000005</v>
      </c>
      <c r="AY115" s="25">
        <f t="shared" ref="AY115" si="1873">IF(AY114=0,0,IF(AY114&gt;AY111,AY114-AY111,0))</f>
        <v>3.600000000000005</v>
      </c>
      <c r="AZ115" s="25">
        <f t="shared" ref="AZ115" si="1874">IF(AZ114=0,0,IF(AZ114&gt;AZ111,AZ114-AZ111,0))</f>
        <v>3.600000000000005</v>
      </c>
      <c r="BA115" s="25">
        <f t="shared" ref="BA115" si="1875">IF(BA114=0,0,IF(BA114&gt;BA111,BA114-BA111,0))</f>
        <v>3.600000000000005</v>
      </c>
      <c r="BB115" s="25">
        <f t="shared" ref="BB115" si="1876">IF(BB114=0,0,IF(BB114&gt;BB111,BB114-BB111,0))</f>
        <v>3.600000000000005</v>
      </c>
      <c r="BC115" s="25">
        <f t="shared" ref="BC115" si="1877">IF(BC114=0,0,IF(BC114&gt;BC111,BC114-BC111,0))</f>
        <v>3.600000000000005</v>
      </c>
      <c r="BD115" s="25">
        <f t="shared" ref="BD115" si="1878">IF(BD114=0,0,IF(BD114&gt;BD111,BD114-BD111,0))</f>
        <v>3.600000000000005</v>
      </c>
      <c r="BE115" s="25">
        <f t="shared" ref="BE115" si="1879">IF(BE114=0,0,IF(BE114&gt;BE111,BE114-BE111,0))</f>
        <v>3.600000000000005</v>
      </c>
      <c r="BF115" s="25">
        <f t="shared" ref="BF115" si="1880">IF(BF114=0,0,IF(BF114&gt;BF111,BF114-BF111,0))</f>
        <v>3.600000000000005</v>
      </c>
      <c r="BG115" s="25">
        <f t="shared" ref="BG115" si="1881">IF(BG114=0,0,IF(BG114&gt;BG111,BG114-BG111,0))</f>
        <v>3.600000000000005</v>
      </c>
      <c r="BH115" s="25">
        <f t="shared" ref="BH115" si="1882">IF(BH114=0,0,IF(BH114&gt;BH111,BH114-BH111,0))</f>
        <v>3.600000000000005</v>
      </c>
      <c r="BI115" s="25">
        <f t="shared" ref="BI115" si="1883">IF(BI114=0,0,IF(BI114&gt;BI111,BI114-BI111,0))</f>
        <v>3.600000000000005</v>
      </c>
      <c r="BJ115" s="25">
        <f t="shared" ref="BJ115" si="1884">IF(BJ114=0,0,IF(BJ114&gt;BJ111,BJ114-BJ111,0))</f>
        <v>3.600000000000005</v>
      </c>
      <c r="BK115" s="25">
        <f t="shared" ref="BK115" si="1885">IF(BK114=0,0,IF(BK114&gt;BK111,BK114-BK111,0))</f>
        <v>3.600000000000005</v>
      </c>
      <c r="BL115" s="1" t="s">
        <v>187</v>
      </c>
      <c r="BM115" s="1" t="s">
        <v>14</v>
      </c>
      <c r="BO115" s="25">
        <f t="shared" ref="BO115" si="1886">IF(BO114=0,0,IF(BO114&gt;BO111,BO114-BO111,0))</f>
        <v>0</v>
      </c>
      <c r="BP115" s="25">
        <f t="shared" ref="BP115" si="1887">IF(BP114=0,0,IF(BP114&gt;BP111,BP114-BP111,0))</f>
        <v>0</v>
      </c>
      <c r="BQ115" s="25">
        <f t="shared" ref="BQ115" si="1888">IF(BQ114=0,0,IF(BQ114&gt;BQ111,BQ114-BQ111,0))</f>
        <v>0</v>
      </c>
      <c r="BR115" s="25">
        <f t="shared" ref="BR115" si="1889">IF(BR114=0,0,IF(BR114&gt;BR111,BR114-BR111,0))</f>
        <v>0</v>
      </c>
      <c r="BS115" s="25">
        <f t="shared" ref="BS115" si="1890">IF(BS114=0,0,IF(BS114&gt;BS111,BS114-BS111,0))</f>
        <v>3.600000000000005</v>
      </c>
      <c r="BT115" s="25">
        <f t="shared" ref="BT115" si="1891">IF(BT114=0,0,IF(BT114&gt;BT111,BT114-BT111,0))</f>
        <v>3.600000000000005</v>
      </c>
      <c r="BU115" s="25">
        <f t="shared" ref="BU115" si="1892">IF(BU114=0,0,IF(BU114&gt;BU111,BU114-BU111,0))</f>
        <v>3.600000000000005</v>
      </c>
      <c r="BV115" s="25">
        <f>IF(BV114=0,0,IF(BV114&gt;BV111,BV114-BV111,0))</f>
        <v>3.600000000000005</v>
      </c>
      <c r="BW115" s="25">
        <f t="shared" ref="BW115" si="1893">IF(BW114=0,0,IF(BW114&gt;BW111,BW114-BW111,0))</f>
        <v>3.600000000000005</v>
      </c>
      <c r="BX115" s="25">
        <f t="shared" ref="BX115" si="1894">IF(BX114=0,0,IF(BX114&gt;BX111,BX114-BX111,0))</f>
        <v>3.600000000000005</v>
      </c>
      <c r="BY115" s="25">
        <f t="shared" ref="BY115" si="1895">IF(BY114=0,0,IF(BY114&gt;BY111,BY114-BY111,0))</f>
        <v>3.600000000000005</v>
      </c>
      <c r="BZ115" s="25">
        <f t="shared" ref="BZ115" si="1896">IF(BZ114=0,0,IF(BZ114&gt;BZ111,BZ114-BZ111,0))</f>
        <v>3.600000000000005</v>
      </c>
      <c r="CA115" s="25">
        <f t="shared" ref="CA115" si="1897">IF(CA114=0,0,IF(CA114&gt;CA111,CA114-CA111,0))</f>
        <v>3.600000000000005</v>
      </c>
      <c r="CB115" s="25">
        <f t="shared" ref="CB115" si="1898">IF(CB114=0,0,IF(CB114&gt;CB111,CB114-CB111,0))</f>
        <v>3.600000000000005</v>
      </c>
      <c r="CC115" s="25">
        <f t="shared" ref="CC115" si="1899">IF(CC114=0,0,IF(CC114&gt;CC111,CC114-CC111,0))</f>
        <v>3.600000000000005</v>
      </c>
      <c r="CD115" s="25">
        <f t="shared" ref="CD115" si="1900">IF(CD114=0,0,IF(CD114&gt;CD111,CD114-CD111,0))</f>
        <v>3.600000000000005</v>
      </c>
      <c r="CE115" s="25">
        <f t="shared" ref="CE115" si="1901">IF(CE114=0,0,IF(CE114&gt;CE111,CE114-CE111,0))</f>
        <v>3.600000000000005</v>
      </c>
      <c r="CF115" s="25">
        <f t="shared" ref="CF115" si="1902">IF(CF114=0,0,IF(CF114&gt;CF111,CF114-CF111,0))</f>
        <v>3.600000000000005</v>
      </c>
      <c r="CG115" s="25">
        <f t="shared" ref="CG115" si="1903">IF(CG114=0,0,IF(CG114&gt;CG111,CG114-CG111,0))</f>
        <v>3.600000000000005</v>
      </c>
      <c r="CH115" s="25">
        <f t="shared" ref="CH115" si="1904">IF(CH114=0,0,IF(CH114&gt;CH111,CH114-CH111,0))</f>
        <v>3.600000000000005</v>
      </c>
      <c r="CI115" s="25">
        <f t="shared" ref="CI115" si="1905">IF(CI114=0,0,IF(CI114&gt;CI111,CI114-CI111,0))</f>
        <v>3.600000000000005</v>
      </c>
      <c r="CJ115" s="25">
        <f t="shared" ref="CJ115" si="1906">IF(CJ114=0,0,IF(CJ114&gt;CJ111,CJ114-CJ111,0))</f>
        <v>3.600000000000005</v>
      </c>
      <c r="CK115" s="25">
        <f t="shared" ref="CK115" si="1907">IF(CK114=0,0,IF(CK114&gt;CK111,CK114-CK111,0))</f>
        <v>0</v>
      </c>
      <c r="CL115" s="1" t="s">
        <v>187</v>
      </c>
      <c r="CM115" s="1" t="s">
        <v>14</v>
      </c>
      <c r="CO115" s="25">
        <f t="shared" ref="CO115" si="1908">IF(CO114=0,0,IF(CO114&gt;CO111,CO114-CO111,0))</f>
        <v>0</v>
      </c>
      <c r="CP115" s="25">
        <f t="shared" ref="CP115" si="1909">IF(CP114=0,0,IF(CP114&gt;CP111,CP114-CP111,0))</f>
        <v>0</v>
      </c>
      <c r="CQ115" s="25">
        <f t="shared" ref="CQ115" si="1910">IF(CQ114=0,0,IF(CQ114&gt;CQ111,CQ114-CQ111,0))</f>
        <v>0</v>
      </c>
      <c r="CR115" s="25">
        <f t="shared" ref="CR115" si="1911">IF(CR114=0,0,IF(CR114&gt;CR111,CR114-CR111,0))</f>
        <v>3.600000000000005</v>
      </c>
      <c r="CS115" s="25">
        <f t="shared" ref="CS115" si="1912">IF(CS114=0,0,IF(CS114&gt;CS111,CS114-CS111,0))</f>
        <v>3.600000000000005</v>
      </c>
      <c r="CT115" s="25">
        <f t="shared" ref="CT115" si="1913">IF(CT114=0,0,IF(CT114&gt;CT111,CT114-CT111,0))</f>
        <v>3.600000000000005</v>
      </c>
      <c r="CU115" s="25">
        <f t="shared" ref="CU115" si="1914">IF(CU114=0,0,IF(CU114&gt;CU111,CU114-CU111,0))</f>
        <v>3.600000000000005</v>
      </c>
      <c r="CV115" s="25">
        <f>IF(CV114=0,0,IF(CV114&gt;CV111,CV114-CV111,0))</f>
        <v>3.600000000000005</v>
      </c>
      <c r="CW115" s="25">
        <f t="shared" ref="CW115" si="1915">IF(CW114=0,0,IF(CW114&gt;CW111,CW114-CW111,0))</f>
        <v>3.600000000000005</v>
      </c>
      <c r="CX115" s="25">
        <f t="shared" ref="CX115" si="1916">IF(CX114=0,0,IF(CX114&gt;CX111,CX114-CX111,0))</f>
        <v>3.600000000000005</v>
      </c>
      <c r="CY115" s="25">
        <f t="shared" ref="CY115" si="1917">IF(CY114=0,0,IF(CY114&gt;CY111,CY114-CY111,0))</f>
        <v>3.600000000000005</v>
      </c>
      <c r="CZ115" s="25">
        <f t="shared" ref="CZ115" si="1918">IF(CZ114=0,0,IF(CZ114&gt;CZ111,CZ114-CZ111,0))</f>
        <v>3.600000000000005</v>
      </c>
      <c r="DA115" s="25">
        <f t="shared" ref="DA115" si="1919">IF(DA114=0,0,IF(DA114&gt;DA111,DA114-DA111,0))</f>
        <v>3.600000000000005</v>
      </c>
      <c r="DB115" s="25">
        <f t="shared" ref="DB115" si="1920">IF(DB114=0,0,IF(DB114&gt;DB111,DB114-DB111,0))</f>
        <v>3.600000000000005</v>
      </c>
      <c r="DC115" s="25">
        <f t="shared" ref="DC115" si="1921">IF(DC114=0,0,IF(DC114&gt;DC111,DC114-DC111,0))</f>
        <v>3.600000000000005</v>
      </c>
      <c r="DD115" s="25">
        <f t="shared" ref="DD115" si="1922">IF(DD114=0,0,IF(DD114&gt;DD111,DD114-DD111,0))</f>
        <v>3.600000000000005</v>
      </c>
      <c r="DE115" s="25">
        <f t="shared" ref="DE115" si="1923">IF(DE114=0,0,IF(DE114&gt;DE111,DE114-DE111,0))</f>
        <v>3.600000000000005</v>
      </c>
      <c r="DF115" s="25">
        <f t="shared" ref="DF115" si="1924">IF(DF114=0,0,IF(DF114&gt;DF111,DF114-DF111,0))</f>
        <v>3.600000000000005</v>
      </c>
      <c r="DG115" s="25">
        <f t="shared" ref="DG115" si="1925">IF(DG114=0,0,IF(DG114&gt;DG111,DG114-DG111,0))</f>
        <v>3.600000000000005</v>
      </c>
      <c r="DH115" s="25">
        <f t="shared" ref="DH115" si="1926">IF(DH114=0,0,IF(DH114&gt;DH111,DH114-DH111,0))</f>
        <v>3.600000000000005</v>
      </c>
      <c r="DI115" s="25">
        <f t="shared" ref="DI115" si="1927">IF(DI114=0,0,IF(DI114&gt;DI111,DI114-DI111,0))</f>
        <v>3.600000000000005</v>
      </c>
      <c r="DJ115" s="25">
        <f t="shared" ref="DJ115" si="1928">IF(DJ114=0,0,IF(DJ114&gt;DJ111,DJ114-DJ111,0))</f>
        <v>3.600000000000005</v>
      </c>
      <c r="DK115" s="25">
        <f t="shared" ref="DK115" si="1929">IF(DK114=0,0,IF(DK114&gt;DK111,DK114-DK111,0))</f>
        <v>3.600000000000005</v>
      </c>
      <c r="DL115" s="1" t="s">
        <v>187</v>
      </c>
      <c r="DM115" s="1" t="s">
        <v>14</v>
      </c>
      <c r="DO115" s="25">
        <f t="shared" ref="DO115" si="1930">IF(DO114=0,0,IF(DO114&gt;DO111,DO114-DO111,0))</f>
        <v>0</v>
      </c>
      <c r="DP115" s="25">
        <f t="shared" ref="DP115" si="1931">IF(DP114=0,0,IF(DP114&gt;DP111,DP114-DP111,0))</f>
        <v>0</v>
      </c>
      <c r="DQ115" s="25">
        <f t="shared" ref="DQ115" si="1932">IF(DQ114=0,0,IF(DQ114&gt;DQ111,DQ114-DQ111,0))</f>
        <v>0</v>
      </c>
      <c r="DR115" s="25">
        <f t="shared" ref="DR115" si="1933">IF(DR114=0,0,IF(DR114&gt;DR111,DR114-DR111,0))</f>
        <v>3.600000000000005</v>
      </c>
      <c r="DS115" s="25">
        <f t="shared" ref="DS115" si="1934">IF(DS114=0,0,IF(DS114&gt;DS111,DS114-DS111,0))</f>
        <v>3.600000000000005</v>
      </c>
      <c r="DT115" s="25">
        <f t="shared" ref="DT115" si="1935">IF(DT114=0,0,IF(DT114&gt;DT111,DT114-DT111,0))</f>
        <v>3.600000000000005</v>
      </c>
      <c r="DU115" s="25">
        <f t="shared" ref="DU115" si="1936">IF(DU114=0,0,IF(DU114&gt;DU111,DU114-DU111,0))</f>
        <v>3.600000000000005</v>
      </c>
      <c r="DV115" s="25">
        <f>IF(DV114=0,0,IF(DV114&gt;DV111,DV114-DV111,0))</f>
        <v>3.600000000000005</v>
      </c>
      <c r="DW115" s="25">
        <f t="shared" ref="DW115" si="1937">IF(DW114=0,0,IF(DW114&gt;DW111,DW114-DW111,0))</f>
        <v>3.600000000000005</v>
      </c>
      <c r="DX115" s="25">
        <f t="shared" ref="DX115" si="1938">IF(DX114=0,0,IF(DX114&gt;DX111,DX114-DX111,0))</f>
        <v>3.600000000000005</v>
      </c>
      <c r="DY115" s="25">
        <f t="shared" ref="DY115" si="1939">IF(DY114=0,0,IF(DY114&gt;DY111,DY114-DY111,0))</f>
        <v>3.600000000000005</v>
      </c>
      <c r="DZ115" s="25">
        <f t="shared" ref="DZ115" si="1940">IF(DZ114=0,0,IF(DZ114&gt;DZ111,DZ114-DZ111,0))</f>
        <v>3.600000000000005</v>
      </c>
      <c r="EA115" s="25">
        <f t="shared" ref="EA115" si="1941">IF(EA114=0,0,IF(EA114&gt;EA111,EA114-EA111,0))</f>
        <v>3.600000000000005</v>
      </c>
      <c r="EB115" s="25">
        <f t="shared" ref="EB115" si="1942">IF(EB114=0,0,IF(EB114&gt;EB111,EB114-EB111,0))</f>
        <v>3.600000000000005</v>
      </c>
      <c r="EC115" s="25">
        <f t="shared" ref="EC115" si="1943">IF(EC114=0,0,IF(EC114&gt;EC111,EC114-EC111,0))</f>
        <v>3.600000000000005</v>
      </c>
      <c r="ED115" s="25">
        <f t="shared" ref="ED115" si="1944">IF(ED114=0,0,IF(ED114&gt;ED111,ED114-ED111,0))</f>
        <v>3.600000000000005</v>
      </c>
      <c r="EE115" s="25">
        <f t="shared" ref="EE115" si="1945">IF(EE114=0,0,IF(EE114&gt;EE111,EE114-EE111,0))</f>
        <v>3.600000000000005</v>
      </c>
      <c r="EF115" s="25">
        <f t="shared" ref="EF115" si="1946">IF(EF114=0,0,IF(EF114&gt;EF111,EF114-EF111,0))</f>
        <v>3.600000000000005</v>
      </c>
      <c r="EG115" s="25">
        <f t="shared" ref="EG115" si="1947">IF(EG114=0,0,IF(EG114&gt;EG111,EG114-EG111,0))</f>
        <v>3.600000000000005</v>
      </c>
      <c r="EH115" s="25">
        <f t="shared" ref="EH115" si="1948">IF(EH114=0,0,IF(EH114&gt;EH111,EH114-EH111,0))</f>
        <v>3.600000000000005</v>
      </c>
      <c r="EI115" s="25">
        <f t="shared" ref="EI115" si="1949">IF(EI114=0,0,IF(EI114&gt;EI111,EI114-EI111,0))</f>
        <v>3.600000000000005</v>
      </c>
      <c r="EJ115" s="25">
        <f t="shared" ref="EJ115" si="1950">IF(EJ114=0,0,IF(EJ114&gt;EJ111,EJ114-EJ111,0))</f>
        <v>3.600000000000005</v>
      </c>
      <c r="EK115" s="25">
        <f t="shared" ref="EK115" si="1951">IF(EK114=0,0,IF(EK114&gt;EK111,EK114-EK111,0))</f>
        <v>3.600000000000005</v>
      </c>
      <c r="EL115" s="1" t="s">
        <v>187</v>
      </c>
      <c r="EM115" s="1" t="s">
        <v>14</v>
      </c>
      <c r="EO115" s="25">
        <f t="shared" ref="EO115" si="1952">IF(EO114=0,0,IF(EO114&gt;EO111,EO114-EO111,0))</f>
        <v>3.600000000000005</v>
      </c>
      <c r="EP115" s="25">
        <f t="shared" ref="EP115" si="1953">IF(EP114=0,0,IF(EP114&gt;EP111,EP114-EP111,0))</f>
        <v>3.600000000000005</v>
      </c>
      <c r="EQ115" s="25">
        <f t="shared" ref="EQ115" si="1954">IF(EQ114=0,0,IF(EQ114&gt;EQ111,EQ114-EQ111,0))</f>
        <v>3.600000000000005</v>
      </c>
      <c r="ER115" s="25">
        <f t="shared" ref="ER115" si="1955">IF(ER114=0,0,IF(ER114&gt;ER111,ER114-ER111,0))</f>
        <v>3.600000000000005</v>
      </c>
      <c r="ES115" s="25">
        <f t="shared" ref="ES115" si="1956">IF(ES114=0,0,IF(ES114&gt;ES111,ES114-ES111,0))</f>
        <v>3.600000000000005</v>
      </c>
      <c r="ET115" s="25">
        <f t="shared" ref="ET115" si="1957">IF(ET114=0,0,IF(ET114&gt;ET111,ET114-ET111,0))</f>
        <v>3.600000000000005</v>
      </c>
      <c r="EU115" s="25">
        <f t="shared" ref="EU115" si="1958">IF(EU114=0,0,IF(EU114&gt;EU111,EU114-EU111,0))</f>
        <v>3.600000000000005</v>
      </c>
      <c r="EV115" s="25">
        <f>IF(EV114=0,0,IF(EV114&gt;EV111,EV114-EV111,0))</f>
        <v>3.600000000000005</v>
      </c>
      <c r="EW115" s="25">
        <f t="shared" ref="EW115" si="1959">IF(EW114=0,0,IF(EW114&gt;EW111,EW114-EW111,0))</f>
        <v>3.600000000000005</v>
      </c>
      <c r="EX115" s="25">
        <f t="shared" ref="EX115" si="1960">IF(EX114=0,0,IF(EX114&gt;EX111,EX114-EX111,0))</f>
        <v>3.600000000000005</v>
      </c>
      <c r="EY115" s="25">
        <f t="shared" ref="EY115" si="1961">IF(EY114=0,0,IF(EY114&gt;EY111,EY114-EY111,0))</f>
        <v>3.600000000000005</v>
      </c>
      <c r="EZ115" s="25">
        <f t="shared" ref="EZ115" si="1962">IF(EZ114=0,0,IF(EZ114&gt;EZ111,EZ114-EZ111,0))</f>
        <v>3.600000000000005</v>
      </c>
      <c r="FA115" s="25">
        <f t="shared" ref="FA115" si="1963">IF(FA114=0,0,IF(FA114&gt;FA111,FA114-FA111,0))</f>
        <v>3.600000000000005</v>
      </c>
      <c r="FB115" s="25">
        <f t="shared" ref="FB115" si="1964">IF(FB114=0,0,IF(FB114&gt;FB111,FB114-FB111,0))</f>
        <v>3.600000000000005</v>
      </c>
      <c r="FC115" s="25">
        <f t="shared" ref="FC115" si="1965">IF(FC114=0,0,IF(FC114&gt;FC111,FC114-FC111,0))</f>
        <v>3.600000000000005</v>
      </c>
      <c r="FD115" s="25">
        <f t="shared" ref="FD115" si="1966">IF(FD114=0,0,IF(FD114&gt;FD111,FD114-FD111,0))</f>
        <v>3.600000000000005</v>
      </c>
      <c r="FE115" s="25">
        <f t="shared" ref="FE115" si="1967">IF(FE114=0,0,IF(FE114&gt;FE111,FE114-FE111,0))</f>
        <v>3.600000000000005</v>
      </c>
      <c r="FF115" s="25">
        <f t="shared" ref="FF115" si="1968">IF(FF114=0,0,IF(FF114&gt;FF111,FF114-FF111,0))</f>
        <v>3.600000000000005</v>
      </c>
      <c r="FG115" s="25">
        <f t="shared" ref="FG115" si="1969">IF(FG114=0,0,IF(FG114&gt;FG111,FG114-FG111,0))</f>
        <v>3.600000000000005</v>
      </c>
      <c r="FH115" s="25">
        <f t="shared" ref="FH115" si="1970">IF(FH114=0,0,IF(FH114&gt;FH111,FH114-FH111,0))</f>
        <v>3.600000000000005</v>
      </c>
      <c r="FI115" s="25">
        <f t="shared" ref="FI115" si="1971">IF(FI114=0,0,IF(FI114&gt;FI111,FI114-FI111,0))</f>
        <v>3.600000000000005</v>
      </c>
      <c r="FJ115" s="25">
        <f t="shared" ref="FJ115" si="1972">IF(FJ114=0,0,IF(FJ114&gt;FJ111,FJ114-FJ111,0))</f>
        <v>3.600000000000005</v>
      </c>
      <c r="FK115" s="25">
        <f t="shared" ref="FK115" si="1973">IF(FK114=0,0,IF(FK114&gt;FK111,FK114-FK111,0))</f>
        <v>3.600000000000005</v>
      </c>
    </row>
    <row r="116" spans="2:167" x14ac:dyDescent="0.25">
      <c r="B116" s="37" t="s">
        <v>32</v>
      </c>
      <c r="D116" s="1" t="s">
        <v>6</v>
      </c>
      <c r="E116" s="88">
        <v>0.8</v>
      </c>
      <c r="G116" s="1" t="s">
        <v>109</v>
      </c>
      <c r="I116" s="1" t="s">
        <v>18</v>
      </c>
      <c r="J116" s="89">
        <v>270</v>
      </c>
      <c r="L116" s="1" t="s">
        <v>72</v>
      </c>
      <c r="M116" s="1" t="s">
        <v>14</v>
      </c>
      <c r="N116" s="25">
        <f>N111-N114</f>
        <v>28.8</v>
      </c>
      <c r="O116" s="25">
        <f t="shared" ref="O116" si="1974">IF(O115&gt;0,IF(O120="NO",IF(O123="NO",N116-O115,N116+O111),N116+O111),IF(O123="NO",N116+O111,N116))</f>
        <v>57.6</v>
      </c>
      <c r="P116" s="25">
        <f t="shared" ref="P116" si="1975">IF(P115&gt;0,IF(P120="NO",IF(P123="NO",O116-P115,O116+P111),O116+P111),IF(P123="NO",O116+P111,O116))</f>
        <v>86.4</v>
      </c>
      <c r="Q116" s="25">
        <f t="shared" ref="Q116" si="1976">IF(Q115&gt;0,IF(Q120="NO",IF(Q123="NO",P116-Q115,P116+Q111),P116+Q111),IF(Q123="NO",P116+Q111,P116))</f>
        <v>115.2</v>
      </c>
      <c r="R116" s="25">
        <f t="shared" ref="R116" si="1977">IF(R115&gt;0,IF(R120="NO",IF(R123="NO",Q116-R115,Q116+R111),Q116+R111),IF(R123="NO",Q116+R111,Q116))</f>
        <v>144</v>
      </c>
      <c r="S116" s="25">
        <f t="shared" ref="S116" si="1978">IF(S115&gt;0,IF(S120="NO",IF(S123="NO",R116-S115,R116+S111),R116+S111),IF(S123="NO",R116+S111,R116))</f>
        <v>140.4</v>
      </c>
      <c r="T116" s="25">
        <f t="shared" ref="T116" si="1979">IF(T115&gt;0,IF(T120="NO",IF(T123="NO",S116-T115,S116+T111),S116+T111),IF(T123="NO",S116+T111,S116))</f>
        <v>136.80000000000001</v>
      </c>
      <c r="U116" s="25">
        <f t="shared" ref="U116" si="1980">IF(U115&gt;0,IF(U120="NO",IF(U123="NO",T116-U115,T116+U111),T116+U111),IF(U123="NO",T116+U111,T116))</f>
        <v>133.20000000000002</v>
      </c>
      <c r="V116" s="25">
        <f>IF(V115&gt;0,IF(V120="NO",IF(V123="NO",U116-V115,U116+V111),U116+V111),IF(V123="NO",U116+V111,U116))</f>
        <v>129.60000000000002</v>
      </c>
      <c r="W116" s="25">
        <f t="shared" ref="W116" si="1981">IF(W115&gt;0,IF(W120="NO",IF(W123="NO",V116-(W114-W111),V116+W111),V116+W111),IF(W123="NO",V116+W111,V116))</f>
        <v>126.00000000000001</v>
      </c>
      <c r="X116" s="25">
        <f t="shared" ref="X116" si="1982">IF(X115&gt;0,IF(X120="NO",IF(X123="NO",W116-(X114-X111),W116+X111),W116+X111),IF(X123="NO",W116+X111,W116))</f>
        <v>122.4</v>
      </c>
      <c r="Y116" s="25">
        <f t="shared" ref="Y116" si="1983">IF(Y115&gt;0,IF(Y120="NO",IF(Y123="NO",X116-(Y114-Y111),X116+Y111),X116+Y111),IF(Y123="NO",X116+Y111,X116))</f>
        <v>118.8</v>
      </c>
      <c r="Z116" s="25">
        <f t="shared" ref="Z116" si="1984">IF(Z115&gt;0,IF(Z120="NO",IF(Z123="NO",Y116-(Z114-Z111),Y116+Z111),Y116+Z111),IF(Z123="NO",Y116+Z111,Y116))</f>
        <v>115.19999999999999</v>
      </c>
      <c r="AA116" s="25">
        <f t="shared" ref="AA116" si="1985">IF(AA115&gt;0,IF(AA120="NO",IF(AA123="NO",Z116-(AA114-AA111),Z116+AA111),Z116+AA111),IF(AA123="NO",Z116+AA111,Z116))</f>
        <v>111.59999999999998</v>
      </c>
      <c r="AB116" s="25">
        <f t="shared" ref="AB116" si="1986">IF(AB115&gt;0,IF(AB120="NO",IF(AB123="NO",AA116-(AB114-AB111),AA116+AB111),AA116+AB111),IF(AB123="NO",AA116+AB111,AA116))</f>
        <v>107.99999999999997</v>
      </c>
      <c r="AC116" s="25">
        <f t="shared" ref="AC116" si="1987">IF(AC115&gt;0,IF(AC120="NO",IF(AC123="NO",AB116-(AC114-AC111),AB116+AC111),AB116+AC111),IF(AC123="NO",AB116+AC111,AB116))</f>
        <v>104.39999999999996</v>
      </c>
      <c r="AD116" s="25">
        <f t="shared" ref="AD116" si="1988">IF(AD115&gt;0,IF(AD120="NO",IF(AD123="NO",AC116-(AD114-AD111),AC116+AD111),AC116+AD111),IF(AD123="NO",AC116+AD111,AC116))</f>
        <v>100.79999999999995</v>
      </c>
      <c r="AE116" s="25">
        <f t="shared" ref="AE116" si="1989">IF(AE115&gt;0,IF(AE120="NO",IF(AE123="NO",AD116-(AE114-AE111),AD116+AE111),AD116+AE111),IF(AE123="NO",AD116+AE111,AD116))</f>
        <v>97.199999999999946</v>
      </c>
      <c r="AF116" s="25">
        <f t="shared" ref="AF116" si="1990">IF(AF115&gt;0,IF(AF120="NO",IF(AF123="NO",AE116-(AF114-AF111),AE116+AF111),AE116+AF111),IF(AF123="NO",AE116+AF111,AE116))</f>
        <v>93.599999999999937</v>
      </c>
      <c r="AG116" s="25">
        <f t="shared" ref="AG116" si="1991">IF(AG115&gt;0,IF(AG120="NO",IF(AG123="NO",AF116-(AG114-AG111),AF116+AG111),AF116+AG111),IF(AG123="NO",AF116+AG111,AF116))</f>
        <v>89.999999999999929</v>
      </c>
      <c r="AH116" s="25">
        <f t="shared" ref="AH116" si="1992">IF(AH115&gt;0,IF(AH120="NO",IF(AH123="NO",AG116-(AH114-AH111),AG116+AH111),AG116+AH111),IF(AH123="NO",AG116+AH111,AG116))</f>
        <v>86.39999999999992</v>
      </c>
      <c r="AI116" s="25">
        <f t="shared" ref="AI116" si="1993">IF(AI115&gt;0,IF(AI120="NO",IF(AI123="NO",AH116-(AI114-AI111),AH116+AI111),AH116+AI111),IF(AI123="NO",AH116+AI111,AH116))</f>
        <v>82.799999999999912</v>
      </c>
      <c r="AJ116" s="25">
        <f t="shared" ref="AJ116" si="1994">IF(AJ115&gt;0,IF(AJ120="NO",IF(AJ123="NO",AI116-(AJ114-AJ111),AI116+AJ111),AI116+AJ111),IF(AJ123="NO",AI116+AJ111,AI116))</f>
        <v>111.59999999999991</v>
      </c>
      <c r="AK116" s="25">
        <f t="shared" ref="AK116" si="1995">IF(AK115&gt;0,IF(AK120="NO",IF(AK123="NO",AJ116-(AK114-AK111),AJ116+AK111),AJ116+AK111),IF(AK123="NO",AJ116+AK111,AJ116))</f>
        <v>140.39999999999992</v>
      </c>
      <c r="AL116" s="1" t="s">
        <v>72</v>
      </c>
      <c r="AM116" s="1" t="s">
        <v>14</v>
      </c>
      <c r="AN116" s="25">
        <f>AN111-AN114</f>
        <v>28.8</v>
      </c>
      <c r="AO116" s="25">
        <f t="shared" ref="AO116" si="1996">IF(AO115&gt;0,IF(AO120="NO",IF(AO123="NO",AN116-AO115,AN116+AO111),AN116+AO111),IF(AO123="NO",AN116+AO111,AN116))</f>
        <v>57.6</v>
      </c>
      <c r="AP116" s="25">
        <f t="shared" ref="AP116" si="1997">IF(AP115&gt;0,IF(AP120="NO",IF(AP123="NO",AO116-AP115,AO116+AP111),AO116+AP111),IF(AP123="NO",AO116+AP111,AO116))</f>
        <v>86.4</v>
      </c>
      <c r="AQ116" s="25">
        <f t="shared" ref="AQ116" si="1998">IF(AQ115&gt;0,IF(AQ120="NO",IF(AQ123="NO",AP116-AQ115,AP116+AQ111),AP116+AQ111),IF(AQ123="NO",AP116+AQ111,AP116))</f>
        <v>115.2</v>
      </c>
      <c r="AR116" s="25">
        <f t="shared" ref="AR116" si="1999">IF(AR115&gt;0,IF(AR120="NO",IF(AR123="NO",AQ116-AR115,AQ116+AR111),AQ116+AR111),IF(AR123="NO",AQ116+AR111,AQ116))</f>
        <v>144</v>
      </c>
      <c r="AS116" s="25">
        <f t="shared" ref="AS116" si="2000">IF(AS115&gt;0,IF(AS120="NO",IF(AS123="NO",AR116-AS115,AR116+AS111),AR116+AS111),IF(AS123="NO",AR116+AS111,AR116))</f>
        <v>140.4</v>
      </c>
      <c r="AT116" s="25">
        <f t="shared" ref="AT116" si="2001">IF(AT115&gt;0,IF(AT120="NO",IF(AT123="NO",AS116-AT115,AS116+AT111),AS116+AT111),IF(AT123="NO",AS116+AT111,AS116))</f>
        <v>136.80000000000001</v>
      </c>
      <c r="AU116" s="25">
        <f t="shared" ref="AU116" si="2002">IF(AU115&gt;0,IF(AU120="NO",IF(AU123="NO",AT116-AU115,AT116+AU111),AT116+AU111),IF(AU123="NO",AT116+AU111,AT116))</f>
        <v>133.20000000000002</v>
      </c>
      <c r="AV116" s="25">
        <f>IF(AV115&gt;0,IF(AV120="NO",IF(AV123="NO",AU116-AV115,AU116+AV111),AU116+AV111),IF(AV123="NO",AU116+AV111,AU116))</f>
        <v>129.60000000000002</v>
      </c>
      <c r="AW116" s="25">
        <f t="shared" ref="AW116" si="2003">IF(AW115&gt;0,IF(AW120="NO",IF(AW123="NO",AV116-(AW114-AW111),AV116+AW111),AV116+AW111),IF(AW123="NO",AV116+AW111,AV116))</f>
        <v>126.00000000000001</v>
      </c>
      <c r="AX116" s="25">
        <f t="shared" ref="AX116" si="2004">IF(AX115&gt;0,IF(AX120="NO",IF(AX123="NO",AW116-(AX114-AX111),AW116+AX111),AW116+AX111),IF(AX123="NO",AW116+AX111,AW116))</f>
        <v>122.4</v>
      </c>
      <c r="AY116" s="25">
        <f t="shared" ref="AY116" si="2005">IF(AY115&gt;0,IF(AY120="NO",IF(AY123="NO",AX116-(AY114-AY111),AX116+AY111),AX116+AY111),IF(AY123="NO",AX116+AY111,AX116))</f>
        <v>118.8</v>
      </c>
      <c r="AZ116" s="25">
        <f t="shared" ref="AZ116" si="2006">IF(AZ115&gt;0,IF(AZ120="NO",IF(AZ123="NO",AY116-(AZ114-AZ111),AY116+AZ111),AY116+AZ111),IF(AZ123="NO",AY116+AZ111,AY116))</f>
        <v>115.19999999999999</v>
      </c>
      <c r="BA116" s="25">
        <f t="shared" ref="BA116" si="2007">IF(BA115&gt;0,IF(BA120="NO",IF(BA123="NO",AZ116-(BA114-BA111),AZ116+BA111),AZ116+BA111),IF(BA123="NO",AZ116+BA111,AZ116))</f>
        <v>111.59999999999998</v>
      </c>
      <c r="BB116" s="25">
        <f t="shared" ref="BB116" si="2008">IF(BB115&gt;0,IF(BB120="NO",IF(BB123="NO",BA116-(BB114-BB111),BA116+BB111),BA116+BB111),IF(BB123="NO",BA116+BB111,BA116))</f>
        <v>107.99999999999997</v>
      </c>
      <c r="BC116" s="25">
        <f t="shared" ref="BC116" si="2009">IF(BC115&gt;0,IF(BC120="NO",IF(BC123="NO",BB116-(BC114-BC111),BB116+BC111),BB116+BC111),IF(BC123="NO",BB116+BC111,BB116))</f>
        <v>104.39999999999996</v>
      </c>
      <c r="BD116" s="25">
        <f t="shared" ref="BD116" si="2010">IF(BD115&gt;0,IF(BD120="NO",IF(BD123="NO",BC116-(BD114-BD111),BC116+BD111),BC116+BD111),IF(BD123="NO",BC116+BD111,BC116))</f>
        <v>100.79999999999995</v>
      </c>
      <c r="BE116" s="25">
        <f t="shared" ref="BE116" si="2011">IF(BE115&gt;0,IF(BE120="NO",IF(BE123="NO",BD116-(BE114-BE111),BD116+BE111),BD116+BE111),IF(BE123="NO",BD116+BE111,BD116))</f>
        <v>97.199999999999946</v>
      </c>
      <c r="BF116" s="25">
        <f t="shared" ref="BF116" si="2012">IF(BF115&gt;0,IF(BF120="NO",IF(BF123="NO",BE116-(BF114-BF111),BE116+BF111),BE116+BF111),IF(BF123="NO",BE116+BF111,BE116))</f>
        <v>93.599999999999937</v>
      </c>
      <c r="BG116" s="25">
        <f t="shared" ref="BG116" si="2013">IF(BG115&gt;0,IF(BG120="NO",IF(BG123="NO",BF116-(BG114-BG111),BF116+BG111),BF116+BG111),IF(BG123="NO",BF116+BG111,BF116))</f>
        <v>89.999999999999929</v>
      </c>
      <c r="BH116" s="25">
        <f t="shared" ref="BH116" si="2014">IF(BH115&gt;0,IF(BH120="NO",IF(BH123="NO",BG116-(BH114-BH111),BG116+BH111),BG116+BH111),IF(BH123="NO",BG116+BH111,BG116))</f>
        <v>86.39999999999992</v>
      </c>
      <c r="BI116" s="25">
        <f t="shared" ref="BI116" si="2015">IF(BI115&gt;0,IF(BI120="NO",IF(BI123="NO",BH116-(BI114-BI111),BH116+BI111),BH116+BI111),IF(BI123="NO",BH116+BI111,BH116))</f>
        <v>82.799999999999912</v>
      </c>
      <c r="BJ116" s="25">
        <f t="shared" ref="BJ116" si="2016">IF(BJ115&gt;0,IF(BJ120="NO",IF(BJ123="NO",BI116-(BJ114-BJ111),BI116+BJ111),BI116+BJ111),IF(BJ123="NO",BI116+BJ111,BI116))</f>
        <v>79.199999999999903</v>
      </c>
      <c r="BK116" s="25">
        <f t="shared" ref="BK116" si="2017">IF(BK115&gt;0,IF(BK120="NO",IF(BK123="NO",BJ116-(BK114-BK111),BJ116+BK111),BJ116+BK111),IF(BK123="NO",BJ116+BK111,BJ116))</f>
        <v>75.599999999999895</v>
      </c>
      <c r="BL116" s="1" t="s">
        <v>72</v>
      </c>
      <c r="BM116" s="1" t="s">
        <v>14</v>
      </c>
      <c r="BN116" s="25">
        <f>BN111-BN114</f>
        <v>28.8</v>
      </c>
      <c r="BO116" s="25">
        <f t="shared" ref="BO116" si="2018">IF(BO115&gt;0,IF(BO120="NO",IF(BO123="NO",BN116-BO115,BN116+BO111),BN116+BO111),IF(BO123="NO",BN116+BO111,BN116))</f>
        <v>57.6</v>
      </c>
      <c r="BP116" s="25">
        <f t="shared" ref="BP116" si="2019">IF(BP115&gt;0,IF(BP120="NO",IF(BP123="NO",BO116-BP115,BO116+BP111),BO116+BP111),IF(BP123="NO",BO116+BP111,BO116))</f>
        <v>86.4</v>
      </c>
      <c r="BQ116" s="25">
        <f t="shared" ref="BQ116" si="2020">IF(BQ115&gt;0,IF(BQ120="NO",IF(BQ123="NO",BP116-BQ115,BP116+BQ111),BP116+BQ111),IF(BQ123="NO",BP116+BQ111,BP116))</f>
        <v>115.2</v>
      </c>
      <c r="BR116" s="25">
        <f t="shared" ref="BR116" si="2021">IF(BR115&gt;0,IF(BR120="NO",IF(BR123="NO",BQ116-BR115,BQ116+BR111),BQ116+BR111),IF(BR123="NO",BQ116+BR111,BQ116))</f>
        <v>144</v>
      </c>
      <c r="BS116" s="25">
        <f t="shared" ref="BS116" si="2022">IF(BS115&gt;0,IF(BS120="NO",IF(BS123="NO",BR116-BS115,BR116+BS111),BR116+BS111),IF(BS123="NO",BR116+BS111,BR116))</f>
        <v>140.4</v>
      </c>
      <c r="BT116" s="25">
        <f t="shared" ref="BT116" si="2023">IF(BT115&gt;0,IF(BT120="NO",IF(BT123="NO",BS116-BT115,BS116+BT111),BS116+BT111),IF(BT123="NO",BS116+BT111,BS116))</f>
        <v>136.80000000000001</v>
      </c>
      <c r="BU116" s="25">
        <f t="shared" ref="BU116" si="2024">IF(BU115&gt;0,IF(BU120="NO",IF(BU123="NO",BT116-BU115,BT116+BU111),BT116+BU111),IF(BU123="NO",BT116+BU111,BT116))</f>
        <v>133.20000000000002</v>
      </c>
      <c r="BV116" s="25">
        <f>IF(BV115&gt;0,IF(BV120="NO",IF(BV123="NO",BU116-BV115,BU116+BV111),BU116+BV111),IF(BV123="NO",BU116+BV111,BU116))</f>
        <v>129.60000000000002</v>
      </c>
      <c r="BW116" s="25">
        <f t="shared" ref="BW116" si="2025">IF(BW115&gt;0,IF(BW120="NO",IF(BW123="NO",BV116-(BW114-BW111),BV116+BW111),BV116+BW111),IF(BW123="NO",BV116+BW111,BV116))</f>
        <v>126.00000000000001</v>
      </c>
      <c r="BX116" s="25">
        <f t="shared" ref="BX116" si="2026">IF(BX115&gt;0,IF(BX120="NO",IF(BX123="NO",BW116-(BX114-BX111),BW116+BX111),BW116+BX111),IF(BX123="NO",BW116+BX111,BW116))</f>
        <v>122.4</v>
      </c>
      <c r="BY116" s="25">
        <f t="shared" ref="BY116" si="2027">IF(BY115&gt;0,IF(BY120="NO",IF(BY123="NO",BX116-(BY114-BY111),BX116+BY111),BX116+BY111),IF(BY123="NO",BX116+BY111,BX116))</f>
        <v>118.8</v>
      </c>
      <c r="BZ116" s="25">
        <f t="shared" ref="BZ116" si="2028">IF(BZ115&gt;0,IF(BZ120="NO",IF(BZ123="NO",BY116-(BZ114-BZ111),BY116+BZ111),BY116+BZ111),IF(BZ123="NO",BY116+BZ111,BY116))</f>
        <v>115.19999999999999</v>
      </c>
      <c r="CA116" s="25">
        <f t="shared" ref="CA116" si="2029">IF(CA115&gt;0,IF(CA120="NO",IF(CA123="NO",BZ116-(CA114-CA111),BZ116+CA111),BZ116+CA111),IF(CA123="NO",BZ116+CA111,BZ116))</f>
        <v>111.59999999999998</v>
      </c>
      <c r="CB116" s="25">
        <f t="shared" ref="CB116" si="2030">IF(CB115&gt;0,IF(CB120="NO",IF(CB123="NO",CA116-(CB114-CB111),CA116+CB111),CA116+CB111),IF(CB123="NO",CA116+CB111,CA116))</f>
        <v>107.99999999999997</v>
      </c>
      <c r="CC116" s="25">
        <f t="shared" ref="CC116" si="2031">IF(CC115&gt;0,IF(CC120="NO",IF(CC123="NO",CB116-(CC114-CC111),CB116+CC111),CB116+CC111),IF(CC123="NO",CB116+CC111,CB116))</f>
        <v>104.39999999999996</v>
      </c>
      <c r="CD116" s="25">
        <f t="shared" ref="CD116" si="2032">IF(CD115&gt;0,IF(CD120="NO",IF(CD123="NO",CC116-(CD114-CD111),CC116+CD111),CC116+CD111),IF(CD123="NO",CC116+CD111,CC116))</f>
        <v>100.79999999999995</v>
      </c>
      <c r="CE116" s="25">
        <f t="shared" ref="CE116" si="2033">IF(CE115&gt;0,IF(CE120="NO",IF(CE123="NO",CD116-(CE114-CE111),CD116+CE111),CD116+CE111),IF(CE123="NO",CD116+CE111,CD116))</f>
        <v>97.199999999999946</v>
      </c>
      <c r="CF116" s="25">
        <f t="shared" ref="CF116" si="2034">IF(CF115&gt;0,IF(CF120="NO",IF(CF123="NO",CE116-(CF114-CF111),CE116+CF111),CE116+CF111),IF(CF123="NO",CE116+CF111,CE116))</f>
        <v>93.599999999999937</v>
      </c>
      <c r="CG116" s="25">
        <f t="shared" ref="CG116" si="2035">IF(CG115&gt;0,IF(CG120="NO",IF(CG123="NO",CF116-(CG114-CG111),CF116+CG111),CF116+CG111),IF(CG123="NO",CF116+CG111,CF116))</f>
        <v>89.999999999999929</v>
      </c>
      <c r="CH116" s="25">
        <f t="shared" ref="CH116" si="2036">IF(CH115&gt;0,IF(CH120="NO",IF(CH123="NO",CG116-(CH114-CH111),CG116+CH111),CG116+CH111),IF(CH123="NO",CG116+CH111,CG116))</f>
        <v>86.39999999999992</v>
      </c>
      <c r="CI116" s="25">
        <f t="shared" ref="CI116" si="2037">IF(CI115&gt;0,IF(CI120="NO",IF(CI123="NO",CH116-(CI114-CI111),CH116+CI111),CH116+CI111),IF(CI123="NO",CH116+CI111,CH116))</f>
        <v>82.799999999999912</v>
      </c>
      <c r="CJ116" s="25">
        <f t="shared" ref="CJ116" si="2038">IF(CJ115&gt;0,IF(CJ120="NO",IF(CJ123="NO",CI116-(CJ114-CJ111),CI116+CJ111),CI116+CJ111),IF(CJ123="NO",CI116+CJ111,CI116))</f>
        <v>79.199999999999903</v>
      </c>
      <c r="CK116" s="25">
        <f t="shared" ref="CK116" si="2039">IF(CK115&gt;0,IF(CK120="NO",IF(CK123="NO",CJ116-(CK114-CK111),CJ116+CK111),CJ116+CK111),IF(CK123="NO",CJ116+CK111,CJ116))</f>
        <v>107.9999999999999</v>
      </c>
      <c r="CL116" s="1" t="s">
        <v>72</v>
      </c>
      <c r="CM116" s="1" t="s">
        <v>14</v>
      </c>
      <c r="CN116" s="25">
        <f>CN111-CN114</f>
        <v>28.8</v>
      </c>
      <c r="CO116" s="25">
        <f t="shared" ref="CO116" si="2040">IF(CO115&gt;0,IF(CO120="NO",IF(CO123="NO",CN116-CO115,CN116+CO111),CN116+CO111),IF(CO123="NO",CN116+CO111,CN116))</f>
        <v>57.6</v>
      </c>
      <c r="CP116" s="25">
        <f t="shared" ref="CP116" si="2041">IF(CP115&gt;0,IF(CP120="NO",IF(CP123="NO",CO116-CP115,CO116+CP111),CO116+CP111),IF(CP123="NO",CO116+CP111,CO116))</f>
        <v>86.4</v>
      </c>
      <c r="CQ116" s="25">
        <f t="shared" ref="CQ116" si="2042">IF(CQ115&gt;0,IF(CQ120="NO",IF(CQ123="NO",CP116-CQ115,CP116+CQ111),CP116+CQ111),IF(CQ123="NO",CP116+CQ111,CP116))</f>
        <v>115.2</v>
      </c>
      <c r="CR116" s="25">
        <f t="shared" ref="CR116" si="2043">IF(CR115&gt;0,IF(CR120="NO",IF(CR123="NO",CQ116-CR115,CQ116+CR111),CQ116+CR111),IF(CR123="NO",CQ116+CR111,CQ116))</f>
        <v>111.6</v>
      </c>
      <c r="CS116" s="25">
        <f t="shared" ref="CS116" si="2044">IF(CS115&gt;0,IF(CS120="NO",IF(CS123="NO",CR116-CS115,CR116+CS111),CR116+CS111),IF(CS123="NO",CR116+CS111,CR116))</f>
        <v>107.99999999999999</v>
      </c>
      <c r="CT116" s="25">
        <f t="shared" ref="CT116" si="2045">IF(CT115&gt;0,IF(CT120="NO",IF(CT123="NO",CS116-CT115,CS116+CT111),CS116+CT111),IF(CT123="NO",CS116+CT111,CS116))</f>
        <v>104.39999999999998</v>
      </c>
      <c r="CU116" s="25">
        <f t="shared" ref="CU116" si="2046">IF(CU115&gt;0,IF(CU120="NO",IF(CU123="NO",CT116-CU115,CT116+CU111),CT116+CU111),IF(CU123="NO",CT116+CU111,CT116))</f>
        <v>100.79999999999997</v>
      </c>
      <c r="CV116" s="25">
        <f>IF(CV115&gt;0,IF(CV120="NO",IF(CV123="NO",CU116-CV115,CU116+CV111),CU116+CV111),IF(CV123="NO",CU116+CV111,CU116))</f>
        <v>97.19999999999996</v>
      </c>
      <c r="CW116" s="25">
        <f t="shared" ref="CW116" si="2047">IF(CW115&gt;0,IF(CW120="NO",IF(CW123="NO",CV116-(CW114-CW111),CV116+CW111),CV116+CW111),IF(CW123="NO",CV116+CW111,CV116))</f>
        <v>93.599999999999952</v>
      </c>
      <c r="CX116" s="25">
        <f t="shared" ref="CX116" si="2048">IF(CX115&gt;0,IF(CX120="NO",IF(CX123="NO",CW116-(CX114-CX111),CW116+CX111),CW116+CX111),IF(CX123="NO",CW116+CX111,CW116))</f>
        <v>89.999999999999943</v>
      </c>
      <c r="CY116" s="25">
        <f t="shared" ref="CY116" si="2049">IF(CY115&gt;0,IF(CY120="NO",IF(CY123="NO",CX116-(CY114-CY111),CX116+CY111),CX116+CY111),IF(CY123="NO",CX116+CY111,CX116))</f>
        <v>86.399999999999935</v>
      </c>
      <c r="CZ116" s="25">
        <f t="shared" ref="CZ116" si="2050">IF(CZ115&gt;0,IF(CZ120="NO",IF(CZ123="NO",CY116-(CZ114-CZ111),CY116+CZ111),CY116+CZ111),IF(CZ123="NO",CY116+CZ111,CY116))</f>
        <v>82.799999999999926</v>
      </c>
      <c r="DA116" s="25">
        <f t="shared" ref="DA116" si="2051">IF(DA115&gt;0,IF(DA120="NO",IF(DA123="NO",CZ116-(DA114-DA111),CZ116+DA111),CZ116+DA111),IF(DA123="NO",CZ116+DA111,CZ116))</f>
        <v>79.199999999999918</v>
      </c>
      <c r="DB116" s="25">
        <f t="shared" ref="DB116" si="2052">IF(DB115&gt;0,IF(DB120="NO",IF(DB123="NO",DA116-(DB114-DB111),DA116+DB111),DA116+DB111),IF(DB123="NO",DA116+DB111,DA116))</f>
        <v>75.599999999999909</v>
      </c>
      <c r="DC116" s="25">
        <f t="shared" ref="DC116" si="2053">IF(DC115&gt;0,IF(DC120="NO",IF(DC123="NO",DB116-(DC114-DC111),DB116+DC111),DB116+DC111),IF(DC123="NO",DB116+DC111,DB116))</f>
        <v>71.999999999999901</v>
      </c>
      <c r="DD116" s="25">
        <f t="shared" ref="DD116" si="2054">IF(DD115&gt;0,IF(DD120="NO",IF(DD123="NO",DC116-(DD114-DD111),DC116+DD111),DC116+DD111),IF(DD123="NO",DC116+DD111,DC116))</f>
        <v>68.399999999999892</v>
      </c>
      <c r="DE116" s="25">
        <f t="shared" ref="DE116" si="2055">IF(DE115&gt;0,IF(DE120="NO",IF(DE123="NO",DD116-(DE114-DE111),DD116+DE111),DD116+DE111),IF(DE123="NO",DD116+DE111,DD116))</f>
        <v>64.799999999999883</v>
      </c>
      <c r="DF116" s="25">
        <f t="shared" ref="DF116" si="2056">IF(DF115&gt;0,IF(DF120="NO",IF(DF123="NO",DE116-(DF114-DF111),DE116+DF111),DE116+DF111),IF(DF123="NO",DE116+DF111,DE116))</f>
        <v>61.199999999999875</v>
      </c>
      <c r="DG116" s="25">
        <f t="shared" ref="DG116" si="2057">IF(DG115&gt;0,IF(DG120="NO",IF(DG123="NO",DF116-(DG114-DG111),DF116+DG111),DF116+DG111),IF(DG123="NO",DF116+DG111,DF116))</f>
        <v>57.599999999999866</v>
      </c>
      <c r="DH116" s="25">
        <f t="shared" ref="DH116" si="2058">IF(DH115&gt;0,IF(DH120="NO",IF(DH123="NO",DG116-(DH114-DH111),DG116+DH111),DG116+DH111),IF(DH123="NO",DG116+DH111,DG116))</f>
        <v>53.999999999999858</v>
      </c>
      <c r="DI116" s="25">
        <f t="shared" ref="DI116" si="2059">IF(DI115&gt;0,IF(DI120="NO",IF(DI123="NO",DH116-(DI114-DI111),DH116+DI111),DH116+DI111),IF(DI123="NO",DH116+DI111,DH116))</f>
        <v>50.399999999999849</v>
      </c>
      <c r="DJ116" s="25">
        <f t="shared" ref="DJ116" si="2060">IF(DJ115&gt;0,IF(DJ120="NO",IF(DJ123="NO",DI116-(DJ114-DJ111),DI116+DJ111),DI116+DJ111),IF(DJ123="NO",DI116+DJ111,DI116))</f>
        <v>46.799999999999841</v>
      </c>
      <c r="DK116" s="25">
        <f t="shared" ref="DK116" si="2061">IF(DK115&gt;0,IF(DK120="NO",IF(DK123="NO",DJ116-(DK114-DK111),DJ116+DK111),DJ116+DK111),IF(DK123="NO",DJ116+DK111,DJ116))</f>
        <v>43.199999999999832</v>
      </c>
      <c r="DL116" s="1" t="s">
        <v>72</v>
      </c>
      <c r="DM116" s="1" t="s">
        <v>14</v>
      </c>
      <c r="DN116" s="25">
        <f>DN111-DN114</f>
        <v>28.8</v>
      </c>
      <c r="DO116" s="25">
        <f t="shared" ref="DO116" si="2062">IF(DO115&gt;0,IF(DO120="NO",IF(DO123="NO",DN116-DO115,DN116+DO111),DN116+DO111),IF(DO123="NO",DN116+DO111,DN116))</f>
        <v>57.6</v>
      </c>
      <c r="DP116" s="25">
        <f t="shared" ref="DP116" si="2063">IF(DP115&gt;0,IF(DP120="NO",IF(DP123="NO",DO116-DP115,DO116+DP111),DO116+DP111),IF(DP123="NO",DO116+DP111,DO116))</f>
        <v>86.4</v>
      </c>
      <c r="DQ116" s="25">
        <f t="shared" ref="DQ116" si="2064">IF(DQ115&gt;0,IF(DQ120="NO",IF(DQ123="NO",DP116-DQ115,DP116+DQ111),DP116+DQ111),IF(DQ123="NO",DP116+DQ111,DP116))</f>
        <v>115.2</v>
      </c>
      <c r="DR116" s="25">
        <f t="shared" ref="DR116" si="2065">IF(DR115&gt;0,IF(DR120="NO",IF(DR123="NO",DQ116-DR115,DQ116+DR111),DQ116+DR111),IF(DR123="NO",DQ116+DR111,DQ116))</f>
        <v>111.6</v>
      </c>
      <c r="DS116" s="25">
        <f t="shared" ref="DS116" si="2066">IF(DS115&gt;0,IF(DS120="NO",IF(DS123="NO",DR116-DS115,DR116+DS111),DR116+DS111),IF(DS123="NO",DR116+DS111,DR116))</f>
        <v>107.99999999999999</v>
      </c>
      <c r="DT116" s="25">
        <f t="shared" ref="DT116" si="2067">IF(DT115&gt;0,IF(DT120="NO",IF(DT123="NO",DS116-DT115,DS116+DT111),DS116+DT111),IF(DT123="NO",DS116+DT111,DS116))</f>
        <v>104.39999999999998</v>
      </c>
      <c r="DU116" s="25">
        <f t="shared" ref="DU116" si="2068">IF(DU115&gt;0,IF(DU120="NO",IF(DU123="NO",DT116-DU115,DT116+DU111),DT116+DU111),IF(DU123="NO",DT116+DU111,DT116))</f>
        <v>100.79999999999997</v>
      </c>
      <c r="DV116" s="25">
        <f>IF(DV115&gt;0,IF(DV120="NO",IF(DV123="NO",DU116-DV115,DU116+DV111),DU116+DV111),IF(DV123="NO",DU116+DV111,DU116))</f>
        <v>97.19999999999996</v>
      </c>
      <c r="DW116" s="25">
        <f t="shared" ref="DW116" si="2069">IF(DW115&gt;0,IF(DW120="NO",IF(DW123="NO",DV116-(DW114-DW111),DV116+DW111),DV116+DW111),IF(DW123="NO",DV116+DW111,DV116))</f>
        <v>93.599999999999952</v>
      </c>
      <c r="DX116" s="25">
        <f t="shared" ref="DX116" si="2070">IF(DX115&gt;0,IF(DX120="NO",IF(DX123="NO",DW116-(DX114-DX111),DW116+DX111),DW116+DX111),IF(DX123="NO",DW116+DX111,DW116))</f>
        <v>89.999999999999943</v>
      </c>
      <c r="DY116" s="25">
        <f t="shared" ref="DY116" si="2071">IF(DY115&gt;0,IF(DY120="NO",IF(DY123="NO",DX116-(DY114-DY111),DX116+DY111),DX116+DY111),IF(DY123="NO",DX116+DY111,DX116))</f>
        <v>86.399999999999935</v>
      </c>
      <c r="DZ116" s="25">
        <f t="shared" ref="DZ116" si="2072">IF(DZ115&gt;0,IF(DZ120="NO",IF(DZ123="NO",DY116-(DZ114-DZ111),DY116+DZ111),DY116+DZ111),IF(DZ123="NO",DY116+DZ111,DY116))</f>
        <v>82.799999999999926</v>
      </c>
      <c r="EA116" s="25">
        <f t="shared" ref="EA116" si="2073">IF(EA115&gt;0,IF(EA120="NO",IF(EA123="NO",DZ116-(EA114-EA111),DZ116+EA111),DZ116+EA111),IF(EA123="NO",DZ116+EA111,DZ116))</f>
        <v>79.199999999999918</v>
      </c>
      <c r="EB116" s="25">
        <f t="shared" ref="EB116" si="2074">IF(EB115&gt;0,IF(EB120="NO",IF(EB123="NO",EA116-(EB114-EB111),EA116+EB111),EA116+EB111),IF(EB123="NO",EA116+EB111,EA116))</f>
        <v>75.599999999999909</v>
      </c>
      <c r="EC116" s="25">
        <f t="shared" ref="EC116" si="2075">IF(EC115&gt;0,IF(EC120="NO",IF(EC123="NO",EB116-(EC114-EC111),EB116+EC111),EB116+EC111),IF(EC123="NO",EB116+EC111,EB116))</f>
        <v>71.999999999999901</v>
      </c>
      <c r="ED116" s="25">
        <f t="shared" ref="ED116" si="2076">IF(ED115&gt;0,IF(ED120="NO",IF(ED123="NO",EC116-(ED114-ED111),EC116+ED111),EC116+ED111),IF(ED123="NO",EC116+ED111,EC116))</f>
        <v>68.399999999999892</v>
      </c>
      <c r="EE116" s="25">
        <f t="shared" ref="EE116" si="2077">IF(EE115&gt;0,IF(EE120="NO",IF(EE123="NO",ED116-(EE114-EE111),ED116+EE111),ED116+EE111),IF(EE123="NO",ED116+EE111,ED116))</f>
        <v>64.799999999999883</v>
      </c>
      <c r="EF116" s="25">
        <f t="shared" ref="EF116" si="2078">IF(EF115&gt;0,IF(EF120="NO",IF(EF123="NO",EE116-(EF114-EF111),EE116+EF111),EE116+EF111),IF(EF123="NO",EE116+EF111,EE116))</f>
        <v>61.199999999999875</v>
      </c>
      <c r="EG116" s="25">
        <f t="shared" ref="EG116" si="2079">IF(EG115&gt;0,IF(EG120="NO",IF(EG123="NO",EF116-(EG114-EG111),EF116+EG111),EF116+EG111),IF(EG123="NO",EF116+EG111,EF116))</f>
        <v>57.599999999999866</v>
      </c>
      <c r="EH116" s="25">
        <f t="shared" ref="EH116" si="2080">IF(EH115&gt;0,IF(EH120="NO",IF(EH123="NO",EG116-(EH114-EH111),EG116+EH111),EG116+EH111),IF(EH123="NO",EG116+EH111,EG116))</f>
        <v>53.999999999999858</v>
      </c>
      <c r="EI116" s="25">
        <f t="shared" ref="EI116" si="2081">IF(EI115&gt;0,IF(EI120="NO",IF(EI123="NO",EH116-(EI114-EI111),EH116+EI111),EH116+EI111),IF(EI123="NO",EH116+EI111,EH116))</f>
        <v>50.399999999999849</v>
      </c>
      <c r="EJ116" s="25">
        <f t="shared" ref="EJ116" si="2082">IF(EJ115&gt;0,IF(EJ120="NO",IF(EJ123="NO",EI116-(EJ114-EJ111),EI116+EJ111),EI116+EJ111),IF(EJ123="NO",EI116+EJ111,EI116))</f>
        <v>46.799999999999841</v>
      </c>
      <c r="EK116" s="25">
        <f t="shared" ref="EK116" si="2083">IF(EK115&gt;0,IF(EK120="NO",IF(EK123="NO",EJ116-(EK114-EK111),EJ116+EK111),EJ116+EK111),IF(EK123="NO",EJ116+EK111,EJ116))</f>
        <v>43.199999999999832</v>
      </c>
      <c r="EL116" s="1" t="s">
        <v>72</v>
      </c>
      <c r="EM116" s="1" t="s">
        <v>14</v>
      </c>
      <c r="EN116" s="25">
        <f>EN111-EN114</f>
        <v>28.8</v>
      </c>
      <c r="EO116" s="25">
        <f t="shared" ref="EO116" si="2084">IF(EO115&gt;0,IF(EO120="NO",IF(EO123="NO",EN116-EO115,EN116+EO111),EN116+EO111),IF(EO123="NO",EN116+EO111,EN116))</f>
        <v>57.6</v>
      </c>
      <c r="EP116" s="25">
        <f t="shared" ref="EP116" si="2085">IF(EP115&gt;0,IF(EP120="NO",IF(EP123="NO",EO116-EP115,EO116+EP111),EO116+EP111),IF(EP123="NO",EO116+EP111,EO116))</f>
        <v>54</v>
      </c>
      <c r="EQ116" s="25">
        <f t="shared" ref="EQ116" si="2086">IF(EQ115&gt;0,IF(EQ120="NO",IF(EQ123="NO",EP116-EQ115,EP116+EQ111),EP116+EQ111),IF(EQ123="NO",EP116+EQ111,EP116))</f>
        <v>50.399999999999991</v>
      </c>
      <c r="ER116" s="25">
        <f t="shared" ref="ER116" si="2087">IF(ER115&gt;0,IF(ER120="NO",IF(ER123="NO",EQ116-ER115,EQ116+ER111),EQ116+ER111),IF(ER123="NO",EQ116+ER111,EQ116))</f>
        <v>46.799999999999983</v>
      </c>
      <c r="ES116" s="25">
        <f t="shared" ref="ES116" si="2088">IF(ES115&gt;0,IF(ES120="NO",IF(ES123="NO",ER116-ES115,ER116+ES111),ER116+ES111),IF(ES123="NO",ER116+ES111,ER116))</f>
        <v>43.199999999999974</v>
      </c>
      <c r="ET116" s="25">
        <f t="shared" ref="ET116" si="2089">IF(ET115&gt;0,IF(ET120="NO",IF(ET123="NO",ES116-ET115,ES116+ET111),ES116+ET111),IF(ET123="NO",ES116+ET111,ES116))</f>
        <v>39.599999999999966</v>
      </c>
      <c r="EU116" s="25">
        <f t="shared" ref="EU116" si="2090">IF(EU115&gt;0,IF(EU120="NO",IF(EU123="NO",ET116-EU115,ET116+EU111),ET116+EU111),IF(EU123="NO",ET116+EU111,ET116))</f>
        <v>35.999999999999957</v>
      </c>
      <c r="EV116" s="25">
        <f>IF(EV115&gt;0,IF(EV120="NO",IF(EV123="NO",EU116-EV115,EU116+EV111),EU116+EV111),IF(EV123="NO",EU116+EV111,EU116))</f>
        <v>64.799999999999955</v>
      </c>
      <c r="EW116" s="25">
        <f t="shared" ref="EW116" si="2091">IF(EW115&gt;0,IF(EW120="NO",IF(EW123="NO",EV116-(EW114-EW111),EV116+EW111),EV116+EW111),IF(EW123="NO",EV116+EW111,EV116))</f>
        <v>61.199999999999946</v>
      </c>
      <c r="EX116" s="25">
        <f t="shared" ref="EX116" si="2092">IF(EX115&gt;0,IF(EX120="NO",IF(EX123="NO",EW116-(EX114-EX111),EW116+EX111),EW116+EX111),IF(EX123="NO",EW116+EX111,EW116))</f>
        <v>57.599999999999937</v>
      </c>
      <c r="EY116" s="25">
        <f t="shared" ref="EY116" si="2093">IF(EY115&gt;0,IF(EY120="NO",IF(EY123="NO",EX116-(EY114-EY111),EX116+EY111),EX116+EY111),IF(EY123="NO",EX116+EY111,EX116))</f>
        <v>53.999999999999929</v>
      </c>
      <c r="EZ116" s="25">
        <f t="shared" ref="EZ116" si="2094">IF(EZ115&gt;0,IF(EZ120="NO",IF(EZ123="NO",EY116-(EZ114-EZ111),EY116+EZ111),EY116+EZ111),IF(EZ123="NO",EY116+EZ111,EY116))</f>
        <v>50.39999999999992</v>
      </c>
      <c r="FA116" s="25">
        <f t="shared" ref="FA116" si="2095">IF(FA115&gt;0,IF(FA120="NO",IF(FA123="NO",EZ116-(FA114-FA111),EZ116+FA111),EZ116+FA111),IF(FA123="NO",EZ116+FA111,EZ116))</f>
        <v>46.799999999999912</v>
      </c>
      <c r="FB116" s="25">
        <f t="shared" ref="FB116" si="2096">IF(FB115&gt;0,IF(FB120="NO",IF(FB123="NO",FA116-(FB114-FB111),FA116+FB111),FA116+FB111),IF(FB123="NO",FA116+FB111,FA116))</f>
        <v>43.199999999999903</v>
      </c>
      <c r="FC116" s="25">
        <f t="shared" ref="FC116" si="2097">IF(FC115&gt;0,IF(FC120="NO",IF(FC123="NO",FB116-(FC114-FC111),FB116+FC111),FB116+FC111),IF(FC123="NO",FB116+FC111,FB116))</f>
        <v>39.599999999999895</v>
      </c>
      <c r="FD116" s="25">
        <f t="shared" ref="FD116" si="2098">IF(FD115&gt;0,IF(FD120="NO",IF(FD123="NO",FC116-(FD114-FD111),FC116+FD111),FC116+FD111),IF(FD123="NO",FC116+FD111,FC116))</f>
        <v>35.999999999999886</v>
      </c>
      <c r="FE116" s="25">
        <f t="shared" ref="FE116" si="2099">IF(FE115&gt;0,IF(FE120="NO",IF(FE123="NO",FD116-(FE114-FE111),FD116+FE111),FD116+FE111),IF(FE123="NO",FD116+FE111,FD116))</f>
        <v>64.799999999999883</v>
      </c>
      <c r="FF116" s="25">
        <f t="shared" ref="FF116" si="2100">IF(FF115&gt;0,IF(FF120="NO",IF(FF123="NO",FE116-(FF114-FF111),FE116+FF111),FE116+FF111),IF(FF123="NO",FE116+FF111,FE116))</f>
        <v>61.199999999999875</v>
      </c>
      <c r="FG116" s="25">
        <f t="shared" ref="FG116" si="2101">IF(FG115&gt;0,IF(FG120="NO",IF(FG123="NO",FF116-(FG114-FG111),FF116+FG111),FF116+FG111),IF(FG123="NO",FF116+FG111,FF116))</f>
        <v>57.599999999999866</v>
      </c>
      <c r="FH116" s="25">
        <f t="shared" ref="FH116" si="2102">IF(FH115&gt;0,IF(FH120="NO",IF(FH123="NO",FG116-(FH114-FH111),FG116+FH111),FG116+FH111),IF(FH123="NO",FG116+FH111,FG116))</f>
        <v>53.999999999999858</v>
      </c>
      <c r="FI116" s="25">
        <f t="shared" ref="FI116" si="2103">IF(FI115&gt;0,IF(FI120="NO",IF(FI123="NO",FH116-(FI114-FI111),FH116+FI111),FH116+FI111),IF(FI123="NO",FH116+FI111,FH116))</f>
        <v>50.399999999999849</v>
      </c>
      <c r="FJ116" s="25">
        <f t="shared" ref="FJ116" si="2104">IF(FJ115&gt;0,IF(FJ120="NO",IF(FJ123="NO",FI116-(FJ114-FJ111),FI116+FJ111),FI116+FJ111),IF(FJ123="NO",FI116+FJ111,FI116))</f>
        <v>46.799999999999841</v>
      </c>
      <c r="FK116" s="25">
        <f t="shared" ref="FK116" si="2105">IF(FK115&gt;0,IF(FK120="NO",IF(FK123="NO",FJ116-(FK114-FK111),FJ116+FK111),FJ116+FK111),IF(FK123="NO",FJ116+FK111,FJ116))</f>
        <v>43.199999999999832</v>
      </c>
    </row>
    <row r="117" spans="2:167" x14ac:dyDescent="0.25">
      <c r="B117" s="37" t="s">
        <v>35</v>
      </c>
      <c r="D117" s="1" t="s">
        <v>6</v>
      </c>
      <c r="E117" s="15">
        <f>E116-E115</f>
        <v>0.60000000000000009</v>
      </c>
      <c r="G117" s="1" t="s">
        <v>34</v>
      </c>
      <c r="I117" s="1" t="s">
        <v>20</v>
      </c>
      <c r="J117" s="13">
        <f>J115/J114*1000</f>
        <v>67.5</v>
      </c>
      <c r="L117" s="19" t="s">
        <v>71</v>
      </c>
      <c r="M117" s="19" t="s">
        <v>6</v>
      </c>
      <c r="N117" s="47">
        <f t="shared" ref="N117:AK117" si="2106">N116/$E93</f>
        <v>8.8888888888888892E-2</v>
      </c>
      <c r="O117" s="47">
        <f t="shared" si="2106"/>
        <v>0.17777777777777778</v>
      </c>
      <c r="P117" s="47">
        <f t="shared" si="2106"/>
        <v>0.26666666666666666</v>
      </c>
      <c r="Q117" s="47">
        <f t="shared" si="2106"/>
        <v>0.35555555555555557</v>
      </c>
      <c r="R117" s="47">
        <f t="shared" si="2106"/>
        <v>0.44444444444444442</v>
      </c>
      <c r="S117" s="47">
        <f t="shared" si="2106"/>
        <v>0.43333333333333335</v>
      </c>
      <c r="T117" s="47">
        <f t="shared" si="2106"/>
        <v>0.42222222222222228</v>
      </c>
      <c r="U117" s="47">
        <f t="shared" si="2106"/>
        <v>0.41111111111111115</v>
      </c>
      <c r="V117" s="47">
        <f t="shared" si="2106"/>
        <v>0.40000000000000008</v>
      </c>
      <c r="W117" s="47">
        <f t="shared" si="2106"/>
        <v>0.38888888888888895</v>
      </c>
      <c r="X117" s="47">
        <f t="shared" si="2106"/>
        <v>0.37777777777777777</v>
      </c>
      <c r="Y117" s="47">
        <f t="shared" si="2106"/>
        <v>0.36666666666666664</v>
      </c>
      <c r="Z117" s="47">
        <f t="shared" si="2106"/>
        <v>0.35555555555555551</v>
      </c>
      <c r="AA117" s="47">
        <f t="shared" si="2106"/>
        <v>0.34444444444444439</v>
      </c>
      <c r="AB117" s="47">
        <f t="shared" si="2106"/>
        <v>0.33333333333333326</v>
      </c>
      <c r="AC117" s="47">
        <f t="shared" si="2106"/>
        <v>0.32222222222222213</v>
      </c>
      <c r="AD117" s="47">
        <f t="shared" si="2106"/>
        <v>0.31111111111111095</v>
      </c>
      <c r="AE117" s="47">
        <f t="shared" si="2106"/>
        <v>0.29999999999999982</v>
      </c>
      <c r="AF117" s="47">
        <f t="shared" si="2106"/>
        <v>0.2888888888888887</v>
      </c>
      <c r="AG117" s="47">
        <f t="shared" si="2106"/>
        <v>0.27777777777777757</v>
      </c>
      <c r="AH117" s="47">
        <f t="shared" si="2106"/>
        <v>0.26666666666666644</v>
      </c>
      <c r="AI117" s="47">
        <f t="shared" si="2106"/>
        <v>0.25555555555555526</v>
      </c>
      <c r="AJ117" s="47">
        <f t="shared" si="2106"/>
        <v>0.34444444444444416</v>
      </c>
      <c r="AK117" s="47">
        <f t="shared" si="2106"/>
        <v>0.43333333333333307</v>
      </c>
      <c r="AL117" s="19" t="s">
        <v>71</v>
      </c>
      <c r="AM117" s="19" t="s">
        <v>6</v>
      </c>
      <c r="AN117" s="47">
        <f t="shared" ref="AN117:BK117" si="2107">AN116/$E93</f>
        <v>8.8888888888888892E-2</v>
      </c>
      <c r="AO117" s="47">
        <f t="shared" si="2107"/>
        <v>0.17777777777777778</v>
      </c>
      <c r="AP117" s="47">
        <f t="shared" si="2107"/>
        <v>0.26666666666666666</v>
      </c>
      <c r="AQ117" s="47">
        <f t="shared" si="2107"/>
        <v>0.35555555555555557</v>
      </c>
      <c r="AR117" s="47">
        <f t="shared" si="2107"/>
        <v>0.44444444444444442</v>
      </c>
      <c r="AS117" s="47">
        <f t="shared" si="2107"/>
        <v>0.43333333333333335</v>
      </c>
      <c r="AT117" s="47">
        <f t="shared" si="2107"/>
        <v>0.42222222222222228</v>
      </c>
      <c r="AU117" s="47">
        <f t="shared" si="2107"/>
        <v>0.41111111111111115</v>
      </c>
      <c r="AV117" s="47">
        <f t="shared" si="2107"/>
        <v>0.40000000000000008</v>
      </c>
      <c r="AW117" s="47">
        <f t="shared" si="2107"/>
        <v>0.38888888888888895</v>
      </c>
      <c r="AX117" s="47">
        <f t="shared" si="2107"/>
        <v>0.37777777777777777</v>
      </c>
      <c r="AY117" s="47">
        <f t="shared" si="2107"/>
        <v>0.36666666666666664</v>
      </c>
      <c r="AZ117" s="47">
        <f t="shared" si="2107"/>
        <v>0.35555555555555551</v>
      </c>
      <c r="BA117" s="47">
        <f t="shared" si="2107"/>
        <v>0.34444444444444439</v>
      </c>
      <c r="BB117" s="47">
        <f t="shared" si="2107"/>
        <v>0.33333333333333326</v>
      </c>
      <c r="BC117" s="47">
        <f t="shared" si="2107"/>
        <v>0.32222222222222213</v>
      </c>
      <c r="BD117" s="47">
        <f t="shared" si="2107"/>
        <v>0.31111111111111095</v>
      </c>
      <c r="BE117" s="47">
        <f t="shared" si="2107"/>
        <v>0.29999999999999982</v>
      </c>
      <c r="BF117" s="47">
        <f t="shared" si="2107"/>
        <v>0.2888888888888887</v>
      </c>
      <c r="BG117" s="47">
        <f t="shared" si="2107"/>
        <v>0.27777777777777757</v>
      </c>
      <c r="BH117" s="47">
        <f t="shared" si="2107"/>
        <v>0.26666666666666644</v>
      </c>
      <c r="BI117" s="47">
        <f t="shared" si="2107"/>
        <v>0.25555555555555526</v>
      </c>
      <c r="BJ117" s="47">
        <f t="shared" si="2107"/>
        <v>0.24444444444444416</v>
      </c>
      <c r="BK117" s="47">
        <f t="shared" si="2107"/>
        <v>0.233333333333333</v>
      </c>
      <c r="BL117" s="19" t="s">
        <v>71</v>
      </c>
      <c r="BM117" s="19" t="s">
        <v>6</v>
      </c>
      <c r="BN117" s="47">
        <f t="shared" ref="BN117:CK117" si="2108">BN116/$E93</f>
        <v>8.8888888888888892E-2</v>
      </c>
      <c r="BO117" s="47">
        <f t="shared" si="2108"/>
        <v>0.17777777777777778</v>
      </c>
      <c r="BP117" s="47">
        <f t="shared" si="2108"/>
        <v>0.26666666666666666</v>
      </c>
      <c r="BQ117" s="47">
        <f t="shared" si="2108"/>
        <v>0.35555555555555557</v>
      </c>
      <c r="BR117" s="47">
        <f t="shared" si="2108"/>
        <v>0.44444444444444442</v>
      </c>
      <c r="BS117" s="47">
        <f t="shared" si="2108"/>
        <v>0.43333333333333335</v>
      </c>
      <c r="BT117" s="47">
        <f t="shared" si="2108"/>
        <v>0.42222222222222228</v>
      </c>
      <c r="BU117" s="47">
        <f t="shared" si="2108"/>
        <v>0.41111111111111115</v>
      </c>
      <c r="BV117" s="47">
        <f t="shared" si="2108"/>
        <v>0.40000000000000008</v>
      </c>
      <c r="BW117" s="47">
        <f t="shared" si="2108"/>
        <v>0.38888888888888895</v>
      </c>
      <c r="BX117" s="47">
        <f t="shared" si="2108"/>
        <v>0.37777777777777777</v>
      </c>
      <c r="BY117" s="47">
        <f t="shared" si="2108"/>
        <v>0.36666666666666664</v>
      </c>
      <c r="BZ117" s="47">
        <f t="shared" si="2108"/>
        <v>0.35555555555555551</v>
      </c>
      <c r="CA117" s="47">
        <f t="shared" si="2108"/>
        <v>0.34444444444444439</v>
      </c>
      <c r="CB117" s="47">
        <f t="shared" si="2108"/>
        <v>0.33333333333333326</v>
      </c>
      <c r="CC117" s="47">
        <f t="shared" si="2108"/>
        <v>0.32222222222222213</v>
      </c>
      <c r="CD117" s="47">
        <f t="shared" si="2108"/>
        <v>0.31111111111111095</v>
      </c>
      <c r="CE117" s="47">
        <f t="shared" si="2108"/>
        <v>0.29999999999999982</v>
      </c>
      <c r="CF117" s="47">
        <f t="shared" si="2108"/>
        <v>0.2888888888888887</v>
      </c>
      <c r="CG117" s="47">
        <f t="shared" si="2108"/>
        <v>0.27777777777777757</v>
      </c>
      <c r="CH117" s="47">
        <f t="shared" si="2108"/>
        <v>0.26666666666666644</v>
      </c>
      <c r="CI117" s="47">
        <f t="shared" si="2108"/>
        <v>0.25555555555555526</v>
      </c>
      <c r="CJ117" s="47">
        <f t="shared" si="2108"/>
        <v>0.24444444444444416</v>
      </c>
      <c r="CK117" s="47">
        <f t="shared" si="2108"/>
        <v>0.33333333333333304</v>
      </c>
      <c r="CL117" s="19" t="s">
        <v>71</v>
      </c>
      <c r="CM117" s="19" t="s">
        <v>6</v>
      </c>
      <c r="CN117" s="47">
        <f t="shared" ref="CN117:DK117" si="2109">CN116/$E93</f>
        <v>8.8888888888888892E-2</v>
      </c>
      <c r="CO117" s="47">
        <f t="shared" si="2109"/>
        <v>0.17777777777777778</v>
      </c>
      <c r="CP117" s="47">
        <f t="shared" si="2109"/>
        <v>0.26666666666666666</v>
      </c>
      <c r="CQ117" s="47">
        <f t="shared" si="2109"/>
        <v>0.35555555555555557</v>
      </c>
      <c r="CR117" s="47">
        <f t="shared" si="2109"/>
        <v>0.34444444444444444</v>
      </c>
      <c r="CS117" s="47">
        <f t="shared" si="2109"/>
        <v>0.33333333333333331</v>
      </c>
      <c r="CT117" s="47">
        <f t="shared" si="2109"/>
        <v>0.32222222222222213</v>
      </c>
      <c r="CU117" s="47">
        <f t="shared" si="2109"/>
        <v>0.31111111111111101</v>
      </c>
      <c r="CV117" s="47">
        <f t="shared" si="2109"/>
        <v>0.29999999999999988</v>
      </c>
      <c r="CW117" s="47">
        <f t="shared" si="2109"/>
        <v>0.28888888888888875</v>
      </c>
      <c r="CX117" s="47">
        <f t="shared" si="2109"/>
        <v>0.27777777777777762</v>
      </c>
      <c r="CY117" s="47">
        <f t="shared" si="2109"/>
        <v>0.26666666666666644</v>
      </c>
      <c r="CZ117" s="47">
        <f t="shared" si="2109"/>
        <v>0.25555555555555531</v>
      </c>
      <c r="DA117" s="47">
        <f t="shared" si="2109"/>
        <v>0.24444444444444419</v>
      </c>
      <c r="DB117" s="47">
        <f t="shared" si="2109"/>
        <v>0.23333333333333306</v>
      </c>
      <c r="DC117" s="47">
        <f t="shared" si="2109"/>
        <v>0.2222222222222219</v>
      </c>
      <c r="DD117" s="47">
        <f t="shared" si="2109"/>
        <v>0.21111111111111078</v>
      </c>
      <c r="DE117" s="47">
        <f t="shared" si="2109"/>
        <v>0.19999999999999965</v>
      </c>
      <c r="DF117" s="47">
        <f t="shared" si="2109"/>
        <v>0.1888888888888885</v>
      </c>
      <c r="DG117" s="47">
        <f t="shared" si="2109"/>
        <v>0.17777777777777737</v>
      </c>
      <c r="DH117" s="47">
        <f t="shared" si="2109"/>
        <v>0.16666666666666624</v>
      </c>
      <c r="DI117" s="47">
        <f t="shared" si="2109"/>
        <v>0.15555555555555509</v>
      </c>
      <c r="DJ117" s="47">
        <f t="shared" si="2109"/>
        <v>0.14444444444444396</v>
      </c>
      <c r="DK117" s="47">
        <f t="shared" si="2109"/>
        <v>0.1333333333333328</v>
      </c>
      <c r="DL117" s="19" t="s">
        <v>71</v>
      </c>
      <c r="DM117" s="19" t="s">
        <v>6</v>
      </c>
      <c r="DN117" s="47">
        <f t="shared" ref="DN117:EK117" si="2110">DN116/$E93</f>
        <v>8.8888888888888892E-2</v>
      </c>
      <c r="DO117" s="47">
        <f t="shared" si="2110"/>
        <v>0.17777777777777778</v>
      </c>
      <c r="DP117" s="47">
        <f t="shared" si="2110"/>
        <v>0.26666666666666666</v>
      </c>
      <c r="DQ117" s="47">
        <f t="shared" si="2110"/>
        <v>0.35555555555555557</v>
      </c>
      <c r="DR117" s="47">
        <f t="shared" si="2110"/>
        <v>0.34444444444444444</v>
      </c>
      <c r="DS117" s="47">
        <f t="shared" si="2110"/>
        <v>0.33333333333333331</v>
      </c>
      <c r="DT117" s="47">
        <f t="shared" si="2110"/>
        <v>0.32222222222222213</v>
      </c>
      <c r="DU117" s="47">
        <f t="shared" si="2110"/>
        <v>0.31111111111111101</v>
      </c>
      <c r="DV117" s="47">
        <f t="shared" si="2110"/>
        <v>0.29999999999999988</v>
      </c>
      <c r="DW117" s="47">
        <f t="shared" si="2110"/>
        <v>0.28888888888888875</v>
      </c>
      <c r="DX117" s="47">
        <f t="shared" si="2110"/>
        <v>0.27777777777777762</v>
      </c>
      <c r="DY117" s="47">
        <f t="shared" si="2110"/>
        <v>0.26666666666666644</v>
      </c>
      <c r="DZ117" s="47">
        <f t="shared" si="2110"/>
        <v>0.25555555555555531</v>
      </c>
      <c r="EA117" s="47">
        <f t="shared" si="2110"/>
        <v>0.24444444444444419</v>
      </c>
      <c r="EB117" s="47">
        <f t="shared" si="2110"/>
        <v>0.23333333333333306</v>
      </c>
      <c r="EC117" s="47">
        <f t="shared" si="2110"/>
        <v>0.2222222222222219</v>
      </c>
      <c r="ED117" s="47">
        <f t="shared" si="2110"/>
        <v>0.21111111111111078</v>
      </c>
      <c r="EE117" s="47">
        <f t="shared" si="2110"/>
        <v>0.19999999999999965</v>
      </c>
      <c r="EF117" s="47">
        <f t="shared" si="2110"/>
        <v>0.1888888888888885</v>
      </c>
      <c r="EG117" s="47">
        <f t="shared" si="2110"/>
        <v>0.17777777777777737</v>
      </c>
      <c r="EH117" s="47">
        <f t="shared" si="2110"/>
        <v>0.16666666666666624</v>
      </c>
      <c r="EI117" s="47">
        <f t="shared" si="2110"/>
        <v>0.15555555555555509</v>
      </c>
      <c r="EJ117" s="47">
        <f t="shared" si="2110"/>
        <v>0.14444444444444396</v>
      </c>
      <c r="EK117" s="47">
        <f t="shared" si="2110"/>
        <v>0.1333333333333328</v>
      </c>
      <c r="EL117" s="19" t="s">
        <v>71</v>
      </c>
      <c r="EM117" s="19" t="s">
        <v>6</v>
      </c>
      <c r="EN117" s="47">
        <f t="shared" ref="EN117:FK117" si="2111">EN116/$E93</f>
        <v>8.8888888888888892E-2</v>
      </c>
      <c r="EO117" s="47">
        <f t="shared" si="2111"/>
        <v>0.17777777777777778</v>
      </c>
      <c r="EP117" s="47">
        <f t="shared" si="2111"/>
        <v>0.16666666666666666</v>
      </c>
      <c r="EQ117" s="47">
        <f t="shared" si="2111"/>
        <v>0.15555555555555553</v>
      </c>
      <c r="ER117" s="47">
        <f t="shared" si="2111"/>
        <v>0.1444444444444444</v>
      </c>
      <c r="ES117" s="47">
        <f t="shared" si="2111"/>
        <v>0.13333333333333325</v>
      </c>
      <c r="ET117" s="47">
        <f t="shared" si="2111"/>
        <v>0.12222222222222212</v>
      </c>
      <c r="EU117" s="47">
        <f t="shared" si="2111"/>
        <v>0.11111111111111098</v>
      </c>
      <c r="EV117" s="47">
        <f t="shared" si="2111"/>
        <v>0.19999999999999987</v>
      </c>
      <c r="EW117" s="47">
        <f t="shared" si="2111"/>
        <v>0.18888888888888872</v>
      </c>
      <c r="EX117" s="47">
        <f t="shared" si="2111"/>
        <v>0.17777777777777759</v>
      </c>
      <c r="EY117" s="47">
        <f t="shared" si="2111"/>
        <v>0.16666666666666644</v>
      </c>
      <c r="EZ117" s="47">
        <f t="shared" si="2111"/>
        <v>0.15555555555555531</v>
      </c>
      <c r="FA117" s="47">
        <f t="shared" si="2111"/>
        <v>0.14444444444444418</v>
      </c>
      <c r="FB117" s="47">
        <f t="shared" si="2111"/>
        <v>0.13333333333333303</v>
      </c>
      <c r="FC117" s="47">
        <f t="shared" si="2111"/>
        <v>0.1222222222222219</v>
      </c>
      <c r="FD117" s="47">
        <f t="shared" si="2111"/>
        <v>0.11111111111111076</v>
      </c>
      <c r="FE117" s="47">
        <f t="shared" si="2111"/>
        <v>0.19999999999999965</v>
      </c>
      <c r="FF117" s="47">
        <f t="shared" si="2111"/>
        <v>0.1888888888888885</v>
      </c>
      <c r="FG117" s="47">
        <f t="shared" si="2111"/>
        <v>0.17777777777777737</v>
      </c>
      <c r="FH117" s="47">
        <f t="shared" si="2111"/>
        <v>0.16666666666666624</v>
      </c>
      <c r="FI117" s="47">
        <f t="shared" si="2111"/>
        <v>0.15555555555555509</v>
      </c>
      <c r="FJ117" s="47">
        <f t="shared" si="2111"/>
        <v>0.14444444444444396</v>
      </c>
      <c r="FK117" s="47">
        <f t="shared" si="2111"/>
        <v>0.1333333333333328</v>
      </c>
    </row>
    <row r="118" spans="2:167" x14ac:dyDescent="0.25">
      <c r="B118" s="37"/>
      <c r="E118" s="87"/>
      <c r="J118" s="38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1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1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1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1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1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</row>
    <row r="119" spans="2:167" x14ac:dyDescent="0.25">
      <c r="B119" s="37" t="s">
        <v>141</v>
      </c>
      <c r="D119" s="1" t="s">
        <v>44</v>
      </c>
      <c r="E119" s="13">
        <f>COUNTIF(O124:AK124,"YES")</f>
        <v>0</v>
      </c>
      <c r="J119" s="38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1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1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1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1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1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</row>
    <row r="120" spans="2:167" x14ac:dyDescent="0.25">
      <c r="B120" s="37" t="s">
        <v>142</v>
      </c>
      <c r="D120" s="1" t="s">
        <v>27</v>
      </c>
      <c r="E120" s="13">
        <f>COUNTIF(N121:AK121,"Discharge")</f>
        <v>17</v>
      </c>
      <c r="J120" s="38"/>
      <c r="L120" s="1" t="s">
        <v>186</v>
      </c>
      <c r="N120" s="90"/>
      <c r="O120" s="90" t="str">
        <f t="shared" ref="O120" si="2112">IF(O115&gt;N116,"YES", "NO")</f>
        <v>NO</v>
      </c>
      <c r="P120" s="90" t="str">
        <f t="shared" ref="P120" si="2113">IF(P115&gt;O116,"YES", "NO")</f>
        <v>NO</v>
      </c>
      <c r="Q120" s="90" t="str">
        <f t="shared" ref="Q120" si="2114">IF(Q115&gt;P116,"YES", "NO")</f>
        <v>NO</v>
      </c>
      <c r="R120" s="90" t="str">
        <f t="shared" ref="R120" si="2115">IF(R115&gt;Q116,"YES", "NO")</f>
        <v>NO</v>
      </c>
      <c r="S120" s="90" t="str">
        <f t="shared" ref="S120" si="2116">IF(S115&gt;R116,"YES", "NO")</f>
        <v>NO</v>
      </c>
      <c r="T120" s="90" t="str">
        <f t="shared" ref="T120" si="2117">IF(T115&gt;S116,"YES", "NO")</f>
        <v>NO</v>
      </c>
      <c r="U120" s="90" t="str">
        <f t="shared" ref="U120" si="2118">IF(U115&gt;T116,"YES", "NO")</f>
        <v>NO</v>
      </c>
      <c r="V120" s="90" t="str">
        <f>IF(V115&gt;U116,"YES", "NO")</f>
        <v>NO</v>
      </c>
      <c r="W120" s="90" t="str">
        <f t="shared" ref="W120" si="2119">IF(W115&gt;V116,"YES", "NO")</f>
        <v>NO</v>
      </c>
      <c r="X120" s="90" t="str">
        <f t="shared" ref="X120" si="2120">IF(X115&gt;W116,"YES", "NO")</f>
        <v>NO</v>
      </c>
      <c r="Y120" s="90" t="str">
        <f t="shared" ref="Y120" si="2121">IF(Y115&gt;X116,"YES", "NO")</f>
        <v>NO</v>
      </c>
      <c r="Z120" s="90" t="str">
        <f t="shared" ref="Z120" si="2122">IF(Z115&gt;Y116,"YES", "NO")</f>
        <v>NO</v>
      </c>
      <c r="AA120" s="90" t="str">
        <f t="shared" ref="AA120" si="2123">IF(AA115&gt;Z116,"YES", "NO")</f>
        <v>NO</v>
      </c>
      <c r="AB120" s="90" t="str">
        <f t="shared" ref="AB120" si="2124">IF(AB115&gt;AA116,"YES", "NO")</f>
        <v>NO</v>
      </c>
      <c r="AC120" s="90" t="str">
        <f t="shared" ref="AC120" si="2125">IF(AC115&gt;AB116,"YES", "NO")</f>
        <v>NO</v>
      </c>
      <c r="AD120" s="90" t="str">
        <f t="shared" ref="AD120" si="2126">IF(AD115&gt;AC116,"YES", "NO")</f>
        <v>NO</v>
      </c>
      <c r="AE120" s="90" t="str">
        <f t="shared" ref="AE120" si="2127">IF(AE115&gt;AD116,"YES", "NO")</f>
        <v>NO</v>
      </c>
      <c r="AF120" s="90" t="str">
        <f t="shared" ref="AF120" si="2128">IF(AF115&gt;AE116,"YES", "NO")</f>
        <v>NO</v>
      </c>
      <c r="AG120" s="90" t="str">
        <f t="shared" ref="AG120" si="2129">IF(AG115&gt;AF116,"YES", "NO")</f>
        <v>NO</v>
      </c>
      <c r="AH120" s="90" t="str">
        <f t="shared" ref="AH120" si="2130">IF(AH115&gt;AG116,"YES", "NO")</f>
        <v>NO</v>
      </c>
      <c r="AI120" s="90" t="str">
        <f t="shared" ref="AI120" si="2131">IF(AI115&gt;AH116,"YES", "NO")</f>
        <v>NO</v>
      </c>
      <c r="AJ120" s="90" t="str">
        <f t="shared" ref="AJ120" si="2132">IF(AJ115&gt;AI116,"YES", "NO")</f>
        <v>NO</v>
      </c>
      <c r="AK120" s="90" t="str">
        <f t="shared" ref="AK120" si="2133">IF(AK115&gt;AJ116,"YES", "NO")</f>
        <v>NO</v>
      </c>
      <c r="AL120" s="1" t="s">
        <v>186</v>
      </c>
      <c r="AN120" s="90"/>
      <c r="AO120" s="90" t="str">
        <f t="shared" ref="AO120" si="2134">IF(AO115&gt;AN116,"YES", "NO")</f>
        <v>NO</v>
      </c>
      <c r="AP120" s="90" t="str">
        <f t="shared" ref="AP120" si="2135">IF(AP115&gt;AO116,"YES", "NO")</f>
        <v>NO</v>
      </c>
      <c r="AQ120" s="90" t="str">
        <f t="shared" ref="AQ120" si="2136">IF(AQ115&gt;AP116,"YES", "NO")</f>
        <v>NO</v>
      </c>
      <c r="AR120" s="90" t="str">
        <f t="shared" ref="AR120" si="2137">IF(AR115&gt;AQ116,"YES", "NO")</f>
        <v>NO</v>
      </c>
      <c r="AS120" s="90" t="str">
        <f t="shared" ref="AS120" si="2138">IF(AS115&gt;AR116,"YES", "NO")</f>
        <v>NO</v>
      </c>
      <c r="AT120" s="90" t="str">
        <f t="shared" ref="AT120" si="2139">IF(AT115&gt;AS116,"YES", "NO")</f>
        <v>NO</v>
      </c>
      <c r="AU120" s="90" t="str">
        <f t="shared" ref="AU120" si="2140">IF(AU115&gt;AT116,"YES", "NO")</f>
        <v>NO</v>
      </c>
      <c r="AV120" s="90" t="str">
        <f>IF(AV115&gt;AU116,"YES", "NO")</f>
        <v>NO</v>
      </c>
      <c r="AW120" s="90" t="str">
        <f t="shared" ref="AW120" si="2141">IF(AW115&gt;AV116,"YES", "NO")</f>
        <v>NO</v>
      </c>
      <c r="AX120" s="90" t="str">
        <f t="shared" ref="AX120" si="2142">IF(AX115&gt;AW116,"YES", "NO")</f>
        <v>NO</v>
      </c>
      <c r="AY120" s="90" t="str">
        <f t="shared" ref="AY120" si="2143">IF(AY115&gt;AX116,"YES", "NO")</f>
        <v>NO</v>
      </c>
      <c r="AZ120" s="90" t="str">
        <f t="shared" ref="AZ120" si="2144">IF(AZ115&gt;AY116,"YES", "NO")</f>
        <v>NO</v>
      </c>
      <c r="BA120" s="90" t="str">
        <f t="shared" ref="BA120" si="2145">IF(BA115&gt;AZ116,"YES", "NO")</f>
        <v>NO</v>
      </c>
      <c r="BB120" s="90" t="str">
        <f t="shared" ref="BB120" si="2146">IF(BB115&gt;BA116,"YES", "NO")</f>
        <v>NO</v>
      </c>
      <c r="BC120" s="90" t="str">
        <f t="shared" ref="BC120" si="2147">IF(BC115&gt;BB116,"YES", "NO")</f>
        <v>NO</v>
      </c>
      <c r="BD120" s="90" t="str">
        <f t="shared" ref="BD120" si="2148">IF(BD115&gt;BC116,"YES", "NO")</f>
        <v>NO</v>
      </c>
      <c r="BE120" s="90" t="str">
        <f t="shared" ref="BE120" si="2149">IF(BE115&gt;BD116,"YES", "NO")</f>
        <v>NO</v>
      </c>
      <c r="BF120" s="90" t="str">
        <f t="shared" ref="BF120" si="2150">IF(BF115&gt;BE116,"YES", "NO")</f>
        <v>NO</v>
      </c>
      <c r="BG120" s="90" t="str">
        <f t="shared" ref="BG120" si="2151">IF(BG115&gt;BF116,"YES", "NO")</f>
        <v>NO</v>
      </c>
      <c r="BH120" s="90" t="str">
        <f t="shared" ref="BH120" si="2152">IF(BH115&gt;BG116,"YES", "NO")</f>
        <v>NO</v>
      </c>
      <c r="BI120" s="90" t="str">
        <f t="shared" ref="BI120" si="2153">IF(BI115&gt;BH116,"YES", "NO")</f>
        <v>NO</v>
      </c>
      <c r="BJ120" s="90" t="str">
        <f t="shared" ref="BJ120" si="2154">IF(BJ115&gt;BI116,"YES", "NO")</f>
        <v>NO</v>
      </c>
      <c r="BK120" s="90" t="str">
        <f t="shared" ref="BK120" si="2155">IF(BK115&gt;BJ116,"YES", "NO")</f>
        <v>NO</v>
      </c>
      <c r="BL120" s="1" t="s">
        <v>186</v>
      </c>
      <c r="BN120" s="90"/>
      <c r="BO120" s="90" t="str">
        <f t="shared" ref="BO120" si="2156">IF(BO115&gt;BN116,"YES", "NO")</f>
        <v>NO</v>
      </c>
      <c r="BP120" s="90" t="str">
        <f t="shared" ref="BP120" si="2157">IF(BP115&gt;BO116,"YES", "NO")</f>
        <v>NO</v>
      </c>
      <c r="BQ120" s="90" t="str">
        <f t="shared" ref="BQ120" si="2158">IF(BQ115&gt;BP116,"YES", "NO")</f>
        <v>NO</v>
      </c>
      <c r="BR120" s="90" t="str">
        <f t="shared" ref="BR120" si="2159">IF(BR115&gt;BQ116,"YES", "NO")</f>
        <v>NO</v>
      </c>
      <c r="BS120" s="90" t="str">
        <f t="shared" ref="BS120" si="2160">IF(BS115&gt;BR116,"YES", "NO")</f>
        <v>NO</v>
      </c>
      <c r="BT120" s="90" t="str">
        <f t="shared" ref="BT120" si="2161">IF(BT115&gt;BS116,"YES", "NO")</f>
        <v>NO</v>
      </c>
      <c r="BU120" s="90" t="str">
        <f t="shared" ref="BU120" si="2162">IF(BU115&gt;BT116,"YES", "NO")</f>
        <v>NO</v>
      </c>
      <c r="BV120" s="90" t="str">
        <f>IF(BV115&gt;BU116,"YES", "NO")</f>
        <v>NO</v>
      </c>
      <c r="BW120" s="90" t="str">
        <f t="shared" ref="BW120" si="2163">IF(BW115&gt;BV116,"YES", "NO")</f>
        <v>NO</v>
      </c>
      <c r="BX120" s="90" t="str">
        <f t="shared" ref="BX120" si="2164">IF(BX115&gt;BW116,"YES", "NO")</f>
        <v>NO</v>
      </c>
      <c r="BY120" s="90" t="str">
        <f t="shared" ref="BY120" si="2165">IF(BY115&gt;BX116,"YES", "NO")</f>
        <v>NO</v>
      </c>
      <c r="BZ120" s="90" t="str">
        <f t="shared" ref="BZ120" si="2166">IF(BZ115&gt;BY116,"YES", "NO")</f>
        <v>NO</v>
      </c>
      <c r="CA120" s="90" t="str">
        <f t="shared" ref="CA120" si="2167">IF(CA115&gt;BZ116,"YES", "NO")</f>
        <v>NO</v>
      </c>
      <c r="CB120" s="90" t="str">
        <f t="shared" ref="CB120" si="2168">IF(CB115&gt;CA116,"YES", "NO")</f>
        <v>NO</v>
      </c>
      <c r="CC120" s="90" t="str">
        <f t="shared" ref="CC120" si="2169">IF(CC115&gt;CB116,"YES", "NO")</f>
        <v>NO</v>
      </c>
      <c r="CD120" s="90" t="str">
        <f t="shared" ref="CD120" si="2170">IF(CD115&gt;CC116,"YES", "NO")</f>
        <v>NO</v>
      </c>
      <c r="CE120" s="90" t="str">
        <f t="shared" ref="CE120" si="2171">IF(CE115&gt;CD116,"YES", "NO")</f>
        <v>NO</v>
      </c>
      <c r="CF120" s="90" t="str">
        <f t="shared" ref="CF120" si="2172">IF(CF115&gt;CE116,"YES", "NO")</f>
        <v>NO</v>
      </c>
      <c r="CG120" s="90" t="str">
        <f t="shared" ref="CG120" si="2173">IF(CG115&gt;CF116,"YES", "NO")</f>
        <v>NO</v>
      </c>
      <c r="CH120" s="90" t="str">
        <f t="shared" ref="CH120" si="2174">IF(CH115&gt;CG116,"YES", "NO")</f>
        <v>NO</v>
      </c>
      <c r="CI120" s="90" t="str">
        <f t="shared" ref="CI120" si="2175">IF(CI115&gt;CH116,"YES", "NO")</f>
        <v>NO</v>
      </c>
      <c r="CJ120" s="90" t="str">
        <f t="shared" ref="CJ120" si="2176">IF(CJ115&gt;CI116,"YES", "NO")</f>
        <v>NO</v>
      </c>
      <c r="CK120" s="90" t="str">
        <f t="shared" ref="CK120" si="2177">IF(CK115&gt;CJ116,"YES", "NO")</f>
        <v>NO</v>
      </c>
      <c r="CL120" s="1" t="s">
        <v>186</v>
      </c>
      <c r="CN120" s="90"/>
      <c r="CO120" s="90" t="str">
        <f t="shared" ref="CO120" si="2178">IF(CO115&gt;CN116,"YES", "NO")</f>
        <v>NO</v>
      </c>
      <c r="CP120" s="90" t="str">
        <f t="shared" ref="CP120" si="2179">IF(CP115&gt;CO116,"YES", "NO")</f>
        <v>NO</v>
      </c>
      <c r="CQ120" s="90" t="str">
        <f t="shared" ref="CQ120" si="2180">IF(CQ115&gt;CP116,"YES", "NO")</f>
        <v>NO</v>
      </c>
      <c r="CR120" s="90" t="str">
        <f t="shared" ref="CR120" si="2181">IF(CR115&gt;CQ116,"YES", "NO")</f>
        <v>NO</v>
      </c>
      <c r="CS120" s="90" t="str">
        <f t="shared" ref="CS120" si="2182">IF(CS115&gt;CR116,"YES", "NO")</f>
        <v>NO</v>
      </c>
      <c r="CT120" s="90" t="str">
        <f t="shared" ref="CT120" si="2183">IF(CT115&gt;CS116,"YES", "NO")</f>
        <v>NO</v>
      </c>
      <c r="CU120" s="90" t="str">
        <f t="shared" ref="CU120" si="2184">IF(CU115&gt;CT116,"YES", "NO")</f>
        <v>NO</v>
      </c>
      <c r="CV120" s="90" t="str">
        <f>IF(CV115&gt;CU116,"YES", "NO")</f>
        <v>NO</v>
      </c>
      <c r="CW120" s="90" t="str">
        <f t="shared" ref="CW120" si="2185">IF(CW115&gt;CV116,"YES", "NO")</f>
        <v>NO</v>
      </c>
      <c r="CX120" s="90" t="str">
        <f t="shared" ref="CX120" si="2186">IF(CX115&gt;CW116,"YES", "NO")</f>
        <v>NO</v>
      </c>
      <c r="CY120" s="90" t="str">
        <f t="shared" ref="CY120" si="2187">IF(CY115&gt;CX116,"YES", "NO")</f>
        <v>NO</v>
      </c>
      <c r="CZ120" s="90" t="str">
        <f t="shared" ref="CZ120" si="2188">IF(CZ115&gt;CY116,"YES", "NO")</f>
        <v>NO</v>
      </c>
      <c r="DA120" s="90" t="str">
        <f t="shared" ref="DA120" si="2189">IF(DA115&gt;CZ116,"YES", "NO")</f>
        <v>NO</v>
      </c>
      <c r="DB120" s="90" t="str">
        <f t="shared" ref="DB120" si="2190">IF(DB115&gt;DA116,"YES", "NO")</f>
        <v>NO</v>
      </c>
      <c r="DC120" s="90" t="str">
        <f t="shared" ref="DC120" si="2191">IF(DC115&gt;DB116,"YES", "NO")</f>
        <v>NO</v>
      </c>
      <c r="DD120" s="90" t="str">
        <f t="shared" ref="DD120" si="2192">IF(DD115&gt;DC116,"YES", "NO")</f>
        <v>NO</v>
      </c>
      <c r="DE120" s="90" t="str">
        <f t="shared" ref="DE120" si="2193">IF(DE115&gt;DD116,"YES", "NO")</f>
        <v>NO</v>
      </c>
      <c r="DF120" s="90" t="str">
        <f t="shared" ref="DF120" si="2194">IF(DF115&gt;DE116,"YES", "NO")</f>
        <v>NO</v>
      </c>
      <c r="DG120" s="90" t="str">
        <f t="shared" ref="DG120" si="2195">IF(DG115&gt;DF116,"YES", "NO")</f>
        <v>NO</v>
      </c>
      <c r="DH120" s="90" t="str">
        <f t="shared" ref="DH120" si="2196">IF(DH115&gt;DG116,"YES", "NO")</f>
        <v>NO</v>
      </c>
      <c r="DI120" s="90" t="str">
        <f t="shared" ref="DI120" si="2197">IF(DI115&gt;DH116,"YES", "NO")</f>
        <v>NO</v>
      </c>
      <c r="DJ120" s="90" t="str">
        <f t="shared" ref="DJ120" si="2198">IF(DJ115&gt;DI116,"YES", "NO")</f>
        <v>NO</v>
      </c>
      <c r="DK120" s="90" t="str">
        <f t="shared" ref="DK120" si="2199">IF(DK115&gt;DJ116,"YES", "NO")</f>
        <v>NO</v>
      </c>
      <c r="DL120" s="1" t="s">
        <v>186</v>
      </c>
      <c r="DN120" s="90"/>
      <c r="DO120" s="90" t="str">
        <f t="shared" ref="DO120" si="2200">IF(DO115&gt;DN116,"YES", "NO")</f>
        <v>NO</v>
      </c>
      <c r="DP120" s="90" t="str">
        <f t="shared" ref="DP120" si="2201">IF(DP115&gt;DO116,"YES", "NO")</f>
        <v>NO</v>
      </c>
      <c r="DQ120" s="90" t="str">
        <f t="shared" ref="DQ120" si="2202">IF(DQ115&gt;DP116,"YES", "NO")</f>
        <v>NO</v>
      </c>
      <c r="DR120" s="90" t="str">
        <f t="shared" ref="DR120" si="2203">IF(DR115&gt;DQ116,"YES", "NO")</f>
        <v>NO</v>
      </c>
      <c r="DS120" s="90" t="str">
        <f t="shared" ref="DS120" si="2204">IF(DS115&gt;DR116,"YES", "NO")</f>
        <v>NO</v>
      </c>
      <c r="DT120" s="90" t="str">
        <f t="shared" ref="DT120" si="2205">IF(DT115&gt;DS116,"YES", "NO")</f>
        <v>NO</v>
      </c>
      <c r="DU120" s="90" t="str">
        <f t="shared" ref="DU120" si="2206">IF(DU115&gt;DT116,"YES", "NO")</f>
        <v>NO</v>
      </c>
      <c r="DV120" s="90" t="str">
        <f>IF(DV115&gt;DU116,"YES", "NO")</f>
        <v>NO</v>
      </c>
      <c r="DW120" s="90" t="str">
        <f t="shared" ref="DW120" si="2207">IF(DW115&gt;DV116,"YES", "NO")</f>
        <v>NO</v>
      </c>
      <c r="DX120" s="90" t="str">
        <f t="shared" ref="DX120" si="2208">IF(DX115&gt;DW116,"YES", "NO")</f>
        <v>NO</v>
      </c>
      <c r="DY120" s="90" t="str">
        <f t="shared" ref="DY120" si="2209">IF(DY115&gt;DX116,"YES", "NO")</f>
        <v>NO</v>
      </c>
      <c r="DZ120" s="90" t="str">
        <f t="shared" ref="DZ120" si="2210">IF(DZ115&gt;DY116,"YES", "NO")</f>
        <v>NO</v>
      </c>
      <c r="EA120" s="90" t="str">
        <f t="shared" ref="EA120" si="2211">IF(EA115&gt;DZ116,"YES", "NO")</f>
        <v>NO</v>
      </c>
      <c r="EB120" s="90" t="str">
        <f t="shared" ref="EB120" si="2212">IF(EB115&gt;EA116,"YES", "NO")</f>
        <v>NO</v>
      </c>
      <c r="EC120" s="90" t="str">
        <f t="shared" ref="EC120" si="2213">IF(EC115&gt;EB116,"YES", "NO")</f>
        <v>NO</v>
      </c>
      <c r="ED120" s="90" t="str">
        <f t="shared" ref="ED120" si="2214">IF(ED115&gt;EC116,"YES", "NO")</f>
        <v>NO</v>
      </c>
      <c r="EE120" s="90" t="str">
        <f t="shared" ref="EE120" si="2215">IF(EE115&gt;ED116,"YES", "NO")</f>
        <v>NO</v>
      </c>
      <c r="EF120" s="90" t="str">
        <f t="shared" ref="EF120" si="2216">IF(EF115&gt;EE116,"YES", "NO")</f>
        <v>NO</v>
      </c>
      <c r="EG120" s="90" t="str">
        <f t="shared" ref="EG120" si="2217">IF(EG115&gt;EF116,"YES", "NO")</f>
        <v>NO</v>
      </c>
      <c r="EH120" s="90" t="str">
        <f t="shared" ref="EH120" si="2218">IF(EH115&gt;EG116,"YES", "NO")</f>
        <v>NO</v>
      </c>
      <c r="EI120" s="90" t="str">
        <f t="shared" ref="EI120" si="2219">IF(EI115&gt;EH116,"YES", "NO")</f>
        <v>NO</v>
      </c>
      <c r="EJ120" s="90" t="str">
        <f t="shared" ref="EJ120" si="2220">IF(EJ115&gt;EI116,"YES", "NO")</f>
        <v>NO</v>
      </c>
      <c r="EK120" s="90" t="str">
        <f t="shared" ref="EK120" si="2221">IF(EK115&gt;EJ116,"YES", "NO")</f>
        <v>NO</v>
      </c>
      <c r="EL120" s="1" t="s">
        <v>186</v>
      </c>
      <c r="EN120" s="90"/>
      <c r="EO120" s="90" t="str">
        <f t="shared" ref="EO120" si="2222">IF(EO115&gt;EN116,"YES", "NO")</f>
        <v>NO</v>
      </c>
      <c r="EP120" s="90" t="str">
        <f t="shared" ref="EP120" si="2223">IF(EP115&gt;EO116,"YES", "NO")</f>
        <v>NO</v>
      </c>
      <c r="EQ120" s="90" t="str">
        <f t="shared" ref="EQ120" si="2224">IF(EQ115&gt;EP116,"YES", "NO")</f>
        <v>NO</v>
      </c>
      <c r="ER120" s="90" t="str">
        <f t="shared" ref="ER120" si="2225">IF(ER115&gt;EQ116,"YES", "NO")</f>
        <v>NO</v>
      </c>
      <c r="ES120" s="90" t="str">
        <f t="shared" ref="ES120" si="2226">IF(ES115&gt;ER116,"YES", "NO")</f>
        <v>NO</v>
      </c>
      <c r="ET120" s="90" t="str">
        <f t="shared" ref="ET120" si="2227">IF(ET115&gt;ES116,"YES", "NO")</f>
        <v>NO</v>
      </c>
      <c r="EU120" s="90" t="str">
        <f t="shared" ref="EU120" si="2228">IF(EU115&gt;ET116,"YES", "NO")</f>
        <v>NO</v>
      </c>
      <c r="EV120" s="90" t="str">
        <f>IF(EV115&gt;EU116,"YES", "NO")</f>
        <v>NO</v>
      </c>
      <c r="EW120" s="90" t="str">
        <f t="shared" ref="EW120" si="2229">IF(EW115&gt;EV116,"YES", "NO")</f>
        <v>NO</v>
      </c>
      <c r="EX120" s="90" t="str">
        <f t="shared" ref="EX120" si="2230">IF(EX115&gt;EW116,"YES", "NO")</f>
        <v>NO</v>
      </c>
      <c r="EY120" s="90" t="str">
        <f t="shared" ref="EY120" si="2231">IF(EY115&gt;EX116,"YES", "NO")</f>
        <v>NO</v>
      </c>
      <c r="EZ120" s="90" t="str">
        <f t="shared" ref="EZ120" si="2232">IF(EZ115&gt;EY116,"YES", "NO")</f>
        <v>NO</v>
      </c>
      <c r="FA120" s="90" t="str">
        <f t="shared" ref="FA120" si="2233">IF(FA115&gt;EZ116,"YES", "NO")</f>
        <v>NO</v>
      </c>
      <c r="FB120" s="90" t="str">
        <f t="shared" ref="FB120" si="2234">IF(FB115&gt;FA116,"YES", "NO")</f>
        <v>NO</v>
      </c>
      <c r="FC120" s="90" t="str">
        <f t="shared" ref="FC120" si="2235">IF(FC115&gt;FB116,"YES", "NO")</f>
        <v>NO</v>
      </c>
      <c r="FD120" s="90" t="str">
        <f t="shared" ref="FD120" si="2236">IF(FD115&gt;FC116,"YES", "NO")</f>
        <v>NO</v>
      </c>
      <c r="FE120" s="90" t="str">
        <f t="shared" ref="FE120" si="2237">IF(FE115&gt;FD116,"YES", "NO")</f>
        <v>NO</v>
      </c>
      <c r="FF120" s="90" t="str">
        <f t="shared" ref="FF120" si="2238">IF(FF115&gt;FE116,"YES", "NO")</f>
        <v>NO</v>
      </c>
      <c r="FG120" s="90" t="str">
        <f t="shared" ref="FG120" si="2239">IF(FG115&gt;FF116,"YES", "NO")</f>
        <v>NO</v>
      </c>
      <c r="FH120" s="90" t="str">
        <f t="shared" ref="FH120" si="2240">IF(FH115&gt;FG116,"YES", "NO")</f>
        <v>NO</v>
      </c>
      <c r="FI120" s="90" t="str">
        <f t="shared" ref="FI120" si="2241">IF(FI115&gt;FH116,"YES", "NO")</f>
        <v>NO</v>
      </c>
      <c r="FJ120" s="90" t="str">
        <f t="shared" ref="FJ120" si="2242">IF(FJ115&gt;FI116,"YES", "NO")</f>
        <v>NO</v>
      </c>
      <c r="FK120" s="90" t="str">
        <f t="shared" ref="FK120" si="2243">IF(FK115&gt;FJ116,"YES", "NO")</f>
        <v>NO</v>
      </c>
    </row>
    <row r="121" spans="2:167" x14ac:dyDescent="0.25">
      <c r="B121" s="37" t="s">
        <v>143</v>
      </c>
      <c r="D121" s="1" t="s">
        <v>40</v>
      </c>
      <c r="E121" s="13">
        <f>E120*J105</f>
        <v>550.80000000000007</v>
      </c>
      <c r="J121" s="38"/>
      <c r="L121" s="1" t="s">
        <v>139</v>
      </c>
      <c r="N121" s="90"/>
      <c r="O121" s="90" t="str" cm="1">
        <f t="array" ref="O121">_xlfn.IFS(O122="YES", IF(O123="NO","Discharge", "Charge"),O111&gt;0,"Charge",O111+O114=0,"Idle")</f>
        <v>Charge</v>
      </c>
      <c r="P121" s="90" t="str" cm="1">
        <f t="array" ref="P121">_xlfn.IFS(P122="YES", IF(P123="NO","Discharge", "Charge"),P111&gt;0,"Charge",P111+P114=0,"Idle")</f>
        <v>Charge</v>
      </c>
      <c r="Q121" s="90" t="str" cm="1">
        <f t="array" ref="Q121">_xlfn.IFS(Q122="YES", IF(Q123="NO","Discharge", "Charge"),Q111&gt;0,"Charge",Q111+Q114=0,"Idle")</f>
        <v>Charge</v>
      </c>
      <c r="R121" s="90" t="str" cm="1">
        <f t="array" ref="R121">_xlfn.IFS(R122="YES", IF(R123="NO","Discharge", "Charge"),R111&gt;0,"Charge",R111+R114=0,"Idle")</f>
        <v>Charge</v>
      </c>
      <c r="S121" s="90" t="str" cm="1">
        <f t="array" ref="S121">_xlfn.IFS(S122="YES", IF(S123="NO","Discharge", "Charge"),S111&gt;0,"Charge",S111+S114=0,"Idle")</f>
        <v>Discharge</v>
      </c>
      <c r="T121" s="90" t="str" cm="1">
        <f t="array" ref="T121">_xlfn.IFS(T122="YES", IF(T123="NO","Discharge", "Charge"),T111&gt;0,"Charge",T111+T114=0,"Idle")</f>
        <v>Discharge</v>
      </c>
      <c r="U121" s="90" t="str" cm="1">
        <f t="array" ref="U121">_xlfn.IFS(U122="YES", IF(U123="NO","Discharge", "Charge"),U111&gt;0,"Charge",U111+U114=0,"Idle")</f>
        <v>Discharge</v>
      </c>
      <c r="V121" s="90" t="str" cm="1">
        <f t="array" ref="V121">_xlfn.IFS(V122="YES", IF(V123="NO","Discharge", "Charge"),V111&gt;0,"Charge",V111+V114=0,"Idle")</f>
        <v>Discharge</v>
      </c>
      <c r="W121" s="90" t="str" cm="1">
        <f t="array" ref="W121">_xlfn.IFS(W122="YES", IF(W123="NO","Discharge", "Charge"),W111&gt;0,"Charge",W111+W114=0,"Idle")</f>
        <v>Discharge</v>
      </c>
      <c r="X121" s="90" t="str" cm="1">
        <f t="array" ref="X121">_xlfn.IFS(X122="YES", IF(X123="NO","Discharge", "Charge"),X111&gt;0,"Charge",X111+X114=0,"Idle")</f>
        <v>Discharge</v>
      </c>
      <c r="Y121" s="90" t="str" cm="1">
        <f t="array" ref="Y121">_xlfn.IFS(Y122="YES", IF(Y123="NO","Discharge", "Charge"),Y111&gt;0,"Charge",Y111+Y114=0,"Idle")</f>
        <v>Discharge</v>
      </c>
      <c r="Z121" s="90" t="str" cm="1">
        <f t="array" ref="Z121">_xlfn.IFS(Z122="YES", IF(Z123="NO","Discharge", "Charge"),Z111&gt;0,"Charge",Z111+Z114=0,"Idle")</f>
        <v>Discharge</v>
      </c>
      <c r="AA121" s="90" t="str" cm="1">
        <f t="array" ref="AA121">_xlfn.IFS(AA122="YES", IF(AA123="NO","Discharge", "Charge"),AA111&gt;0,"Charge",AA111+AA114=0,"Idle")</f>
        <v>Discharge</v>
      </c>
      <c r="AB121" s="90" t="str" cm="1">
        <f t="array" ref="AB121">_xlfn.IFS(AB122="YES", IF(AB123="NO","Discharge", "Charge"),AB111&gt;0,"Charge",AB111+AB114=0,"Idle")</f>
        <v>Discharge</v>
      </c>
      <c r="AC121" s="90" t="str" cm="1">
        <f t="array" ref="AC121">_xlfn.IFS(AC122="YES", IF(AC123="NO","Discharge", "Charge"),AC111&gt;0,"Charge",AC111+AC114=0,"Idle")</f>
        <v>Discharge</v>
      </c>
      <c r="AD121" s="90" t="str" cm="1">
        <f t="array" ref="AD121">_xlfn.IFS(AD122="YES", IF(AD123="NO","Discharge", "Charge"),AD111&gt;0,"Charge",AD111+AD114=0,"Idle")</f>
        <v>Discharge</v>
      </c>
      <c r="AE121" s="90" t="str" cm="1">
        <f t="array" ref="AE121">_xlfn.IFS(AE122="YES", IF(AE123="NO","Discharge", "Charge"),AE111&gt;0,"Charge",AE111+AE114=0,"Idle")</f>
        <v>Discharge</v>
      </c>
      <c r="AF121" s="90" t="str" cm="1">
        <f t="array" ref="AF121">_xlfn.IFS(AF122="YES", IF(AF123="NO","Discharge", "Charge"),AF111&gt;0,"Charge",AF111+AF114=0,"Idle")</f>
        <v>Discharge</v>
      </c>
      <c r="AG121" s="90" t="str" cm="1">
        <f t="array" ref="AG121">_xlfn.IFS(AG122="YES", IF(AG123="NO","Discharge", "Charge"),AG111&gt;0,"Charge",AG111+AG114=0,"Idle")</f>
        <v>Discharge</v>
      </c>
      <c r="AH121" s="90" t="str" cm="1">
        <f t="array" ref="AH121">_xlfn.IFS(AH122="YES", IF(AH123="NO","Discharge", "Charge"),AH111&gt;0,"Charge",AH111+AH114=0,"Idle")</f>
        <v>Discharge</v>
      </c>
      <c r="AI121" s="90" t="str" cm="1">
        <f t="array" ref="AI121">_xlfn.IFS(AI122="YES", IF(AI123="NO","Discharge", "Charge"),AI111&gt;0,"Charge",AI111+AI114=0,"Idle")</f>
        <v>Discharge</v>
      </c>
      <c r="AJ121" s="90" t="str" cm="1">
        <f t="array" ref="AJ121">_xlfn.IFS(AJ122="YES", IF(AJ123="NO","Discharge", "Charge"),AJ111&gt;0,"Charge",AJ111+AJ114=0,"Idle")</f>
        <v>Charge</v>
      </c>
      <c r="AK121" s="90" t="str" cm="1">
        <f t="array" ref="AK121">_xlfn.IFS(AK122="YES", IF(AK123="NO","Discharge", "Charge"),AK111&gt;0,"Charge",AK111+AK114=0,"Idle")</f>
        <v>Charge</v>
      </c>
      <c r="AL121" s="1" t="s">
        <v>139</v>
      </c>
      <c r="AN121" s="90"/>
      <c r="AO121" s="90" t="str" cm="1">
        <f t="array" ref="AO121">_xlfn.IFS(AO122="YES", IF(AO123="NO","Discharge", "Charge"),AO111&gt;0,"Charge",AO111+AO114=0,"Idle")</f>
        <v>Charge</v>
      </c>
      <c r="AP121" s="90" t="str" cm="1">
        <f t="array" ref="AP121">_xlfn.IFS(AP122="YES", IF(AP123="NO","Discharge", "Charge"),AP111&gt;0,"Charge",AP111+AP114=0,"Idle")</f>
        <v>Charge</v>
      </c>
      <c r="AQ121" s="90" t="str" cm="1">
        <f t="array" ref="AQ121">_xlfn.IFS(AQ122="YES", IF(AQ123="NO","Discharge", "Charge"),AQ111&gt;0,"Charge",AQ111+AQ114=0,"Idle")</f>
        <v>Charge</v>
      </c>
      <c r="AR121" s="90" t="str" cm="1">
        <f t="array" ref="AR121">_xlfn.IFS(AR122="YES", IF(AR123="NO","Discharge", "Charge"),AR111&gt;0,"Charge",AR111+AR114=0,"Idle")</f>
        <v>Charge</v>
      </c>
      <c r="AS121" s="90" t="str" cm="1">
        <f t="array" ref="AS121">_xlfn.IFS(AS122="YES", IF(AS123="NO","Discharge", "Charge"),AS111&gt;0,"Charge",AS111+AS114=0,"Idle")</f>
        <v>Discharge</v>
      </c>
      <c r="AT121" s="90" t="str" cm="1">
        <f t="array" ref="AT121">_xlfn.IFS(AT122="YES", IF(AT123="NO","Discharge", "Charge"),AT111&gt;0,"Charge",AT111+AT114=0,"Idle")</f>
        <v>Discharge</v>
      </c>
      <c r="AU121" s="90" t="str" cm="1">
        <f t="array" ref="AU121">_xlfn.IFS(AU122="YES", IF(AU123="NO","Discharge", "Charge"),AU111&gt;0,"Charge",AU111+AU114=0,"Idle")</f>
        <v>Discharge</v>
      </c>
      <c r="AV121" s="90" t="str" cm="1">
        <f t="array" ref="AV121">_xlfn.IFS(AV122="YES", IF(AV123="NO","Discharge", "Charge"),AV111&gt;0,"Charge",AV111+AV114=0,"Idle")</f>
        <v>Discharge</v>
      </c>
      <c r="AW121" s="90" t="str" cm="1">
        <f t="array" ref="AW121">_xlfn.IFS(AW122="YES", IF(AW123="NO","Discharge", "Charge"),AW111&gt;0,"Charge",AW111+AW114=0,"Idle")</f>
        <v>Discharge</v>
      </c>
      <c r="AX121" s="90" t="str" cm="1">
        <f t="array" ref="AX121">_xlfn.IFS(AX122="YES", IF(AX123="NO","Discharge", "Charge"),AX111&gt;0,"Charge",AX111+AX114=0,"Idle")</f>
        <v>Discharge</v>
      </c>
      <c r="AY121" s="90" t="str" cm="1">
        <f t="array" ref="AY121">_xlfn.IFS(AY122="YES", IF(AY123="NO","Discharge", "Charge"),AY111&gt;0,"Charge",AY111+AY114=0,"Idle")</f>
        <v>Discharge</v>
      </c>
      <c r="AZ121" s="90" t="str" cm="1">
        <f t="array" ref="AZ121">_xlfn.IFS(AZ122="YES", IF(AZ123="NO","Discharge", "Charge"),AZ111&gt;0,"Charge",AZ111+AZ114=0,"Idle")</f>
        <v>Discharge</v>
      </c>
      <c r="BA121" s="90" t="str" cm="1">
        <f t="array" ref="BA121">_xlfn.IFS(BA122="YES", IF(BA123="NO","Discharge", "Charge"),BA111&gt;0,"Charge",BA111+BA114=0,"Idle")</f>
        <v>Discharge</v>
      </c>
      <c r="BB121" s="90" t="str" cm="1">
        <f t="array" ref="BB121">_xlfn.IFS(BB122="YES", IF(BB123="NO","Discharge", "Charge"),BB111&gt;0,"Charge",BB111+BB114=0,"Idle")</f>
        <v>Discharge</v>
      </c>
      <c r="BC121" s="90" t="str" cm="1">
        <f t="array" ref="BC121">_xlfn.IFS(BC122="YES", IF(BC123="NO","Discharge", "Charge"),BC111&gt;0,"Charge",BC111+BC114=0,"Idle")</f>
        <v>Discharge</v>
      </c>
      <c r="BD121" s="90" t="str" cm="1">
        <f t="array" ref="BD121">_xlfn.IFS(BD122="YES", IF(BD123="NO","Discharge", "Charge"),BD111&gt;0,"Charge",BD111+BD114=0,"Idle")</f>
        <v>Discharge</v>
      </c>
      <c r="BE121" s="90" t="str" cm="1">
        <f t="array" ref="BE121">_xlfn.IFS(BE122="YES", IF(BE123="NO","Discharge", "Charge"),BE111&gt;0,"Charge",BE111+BE114=0,"Idle")</f>
        <v>Discharge</v>
      </c>
      <c r="BF121" s="90" t="str" cm="1">
        <f t="array" ref="BF121">_xlfn.IFS(BF122="YES", IF(BF123="NO","Discharge", "Charge"),BF111&gt;0,"Charge",BF111+BF114=0,"Idle")</f>
        <v>Discharge</v>
      </c>
      <c r="BG121" s="90" t="str" cm="1">
        <f t="array" ref="BG121">_xlfn.IFS(BG122="YES", IF(BG123="NO","Discharge", "Charge"),BG111&gt;0,"Charge",BG111+BG114=0,"Idle")</f>
        <v>Discharge</v>
      </c>
      <c r="BH121" s="90" t="str" cm="1">
        <f t="array" ref="BH121">_xlfn.IFS(BH122="YES", IF(BH123="NO","Discharge", "Charge"),BH111&gt;0,"Charge",BH111+BH114=0,"Idle")</f>
        <v>Discharge</v>
      </c>
      <c r="BI121" s="90" t="str" cm="1">
        <f t="array" ref="BI121">_xlfn.IFS(BI122="YES", IF(BI123="NO","Discharge", "Charge"),BI111&gt;0,"Charge",BI111+BI114=0,"Idle")</f>
        <v>Discharge</v>
      </c>
      <c r="BJ121" s="90" t="str" cm="1">
        <f t="array" ref="BJ121">_xlfn.IFS(BJ122="YES", IF(BJ123="NO","Discharge", "Charge"),BJ111&gt;0,"Charge",BJ111+BJ114=0,"Idle")</f>
        <v>Discharge</v>
      </c>
      <c r="BK121" s="90" t="str" cm="1">
        <f t="array" ref="BK121">_xlfn.IFS(BK122="YES", IF(BK123="NO","Discharge", "Charge"),BK111&gt;0,"Charge",BK111+BK114=0,"Idle")</f>
        <v>Discharge</v>
      </c>
      <c r="BL121" s="1" t="s">
        <v>139</v>
      </c>
      <c r="BN121" s="90"/>
      <c r="BO121" s="90" t="str" cm="1">
        <f t="array" ref="BO121">_xlfn.IFS(BO122="YES", IF(BO123="NO","Discharge", "Charge"),BO111&gt;0,"Charge",BO111+BO114=0,"Idle")</f>
        <v>Charge</v>
      </c>
      <c r="BP121" s="90" t="str" cm="1">
        <f t="array" ref="BP121">_xlfn.IFS(BP122="YES", IF(BP123="NO","Discharge", "Charge"),BP111&gt;0,"Charge",BP111+BP114=0,"Idle")</f>
        <v>Charge</v>
      </c>
      <c r="BQ121" s="90" t="str" cm="1">
        <f t="array" ref="BQ121">_xlfn.IFS(BQ122="YES", IF(BQ123="NO","Discharge", "Charge"),BQ111&gt;0,"Charge",BQ111+BQ114=0,"Idle")</f>
        <v>Charge</v>
      </c>
      <c r="BR121" s="90" t="str" cm="1">
        <f t="array" ref="BR121">_xlfn.IFS(BR122="YES", IF(BR123="NO","Discharge", "Charge"),BR111&gt;0,"Charge",BR111+BR114=0,"Idle")</f>
        <v>Charge</v>
      </c>
      <c r="BS121" s="90" t="str" cm="1">
        <f t="array" ref="BS121">_xlfn.IFS(BS122="YES", IF(BS123="NO","Discharge", "Charge"),BS111&gt;0,"Charge",BS111+BS114=0,"Idle")</f>
        <v>Discharge</v>
      </c>
      <c r="BT121" s="90" t="str" cm="1">
        <f t="array" ref="BT121">_xlfn.IFS(BT122="YES", IF(BT123="NO","Discharge", "Charge"),BT111&gt;0,"Charge",BT111+BT114=0,"Idle")</f>
        <v>Discharge</v>
      </c>
      <c r="BU121" s="90" t="str" cm="1">
        <f t="array" ref="BU121">_xlfn.IFS(BU122="YES", IF(BU123="NO","Discharge", "Charge"),BU111&gt;0,"Charge",BU111+BU114=0,"Idle")</f>
        <v>Discharge</v>
      </c>
      <c r="BV121" s="90" t="str" cm="1">
        <f t="array" ref="BV121">_xlfn.IFS(BV122="YES", IF(BV123="NO","Discharge", "Charge"),BV111&gt;0,"Charge",BV111+BV114=0,"Idle")</f>
        <v>Discharge</v>
      </c>
      <c r="BW121" s="90" t="str" cm="1">
        <f t="array" ref="BW121">_xlfn.IFS(BW122="YES", IF(BW123="NO","Discharge", "Charge"),BW111&gt;0,"Charge",BW111+BW114=0,"Idle")</f>
        <v>Discharge</v>
      </c>
      <c r="BX121" s="90" t="str" cm="1">
        <f t="array" ref="BX121">_xlfn.IFS(BX122="YES", IF(BX123="NO","Discharge", "Charge"),BX111&gt;0,"Charge",BX111+BX114=0,"Idle")</f>
        <v>Discharge</v>
      </c>
      <c r="BY121" s="90" t="str" cm="1">
        <f t="array" ref="BY121">_xlfn.IFS(BY122="YES", IF(BY123="NO","Discharge", "Charge"),BY111&gt;0,"Charge",BY111+BY114=0,"Idle")</f>
        <v>Discharge</v>
      </c>
      <c r="BZ121" s="90" t="str" cm="1">
        <f t="array" ref="BZ121">_xlfn.IFS(BZ122="YES", IF(BZ123="NO","Discharge", "Charge"),BZ111&gt;0,"Charge",BZ111+BZ114=0,"Idle")</f>
        <v>Discharge</v>
      </c>
      <c r="CA121" s="90" t="str" cm="1">
        <f t="array" ref="CA121">_xlfn.IFS(CA122="YES", IF(CA123="NO","Discharge", "Charge"),CA111&gt;0,"Charge",CA111+CA114=0,"Idle")</f>
        <v>Discharge</v>
      </c>
      <c r="CB121" s="90" t="str" cm="1">
        <f t="array" ref="CB121">_xlfn.IFS(CB122="YES", IF(CB123="NO","Discharge", "Charge"),CB111&gt;0,"Charge",CB111+CB114=0,"Idle")</f>
        <v>Discharge</v>
      </c>
      <c r="CC121" s="90" t="str" cm="1">
        <f t="array" ref="CC121">_xlfn.IFS(CC122="YES", IF(CC123="NO","Discharge", "Charge"),CC111&gt;0,"Charge",CC111+CC114=0,"Idle")</f>
        <v>Discharge</v>
      </c>
      <c r="CD121" s="90" t="str" cm="1">
        <f t="array" ref="CD121">_xlfn.IFS(CD122="YES", IF(CD123="NO","Discharge", "Charge"),CD111&gt;0,"Charge",CD111+CD114=0,"Idle")</f>
        <v>Discharge</v>
      </c>
      <c r="CE121" s="90" t="str" cm="1">
        <f t="array" ref="CE121">_xlfn.IFS(CE122="YES", IF(CE123="NO","Discharge", "Charge"),CE111&gt;0,"Charge",CE111+CE114=0,"Idle")</f>
        <v>Discharge</v>
      </c>
      <c r="CF121" s="90" t="str" cm="1">
        <f t="array" ref="CF121">_xlfn.IFS(CF122="YES", IF(CF123="NO","Discharge", "Charge"),CF111&gt;0,"Charge",CF111+CF114=0,"Idle")</f>
        <v>Discharge</v>
      </c>
      <c r="CG121" s="90" t="str" cm="1">
        <f t="array" ref="CG121">_xlfn.IFS(CG122="YES", IF(CG123="NO","Discharge", "Charge"),CG111&gt;0,"Charge",CG111+CG114=0,"Idle")</f>
        <v>Discharge</v>
      </c>
      <c r="CH121" s="90" t="str" cm="1">
        <f t="array" ref="CH121">_xlfn.IFS(CH122="YES", IF(CH123="NO","Discharge", "Charge"),CH111&gt;0,"Charge",CH111+CH114=0,"Idle")</f>
        <v>Discharge</v>
      </c>
      <c r="CI121" s="90" t="str" cm="1">
        <f t="array" ref="CI121">_xlfn.IFS(CI122="YES", IF(CI123="NO","Discharge", "Charge"),CI111&gt;0,"Charge",CI111+CI114=0,"Idle")</f>
        <v>Discharge</v>
      </c>
      <c r="CJ121" s="90" t="str" cm="1">
        <f t="array" ref="CJ121">_xlfn.IFS(CJ122="YES", IF(CJ123="NO","Discharge", "Charge"),CJ111&gt;0,"Charge",CJ111+CJ114=0,"Idle")</f>
        <v>Discharge</v>
      </c>
      <c r="CK121" s="90" t="str" cm="1">
        <f t="array" ref="CK121">_xlfn.IFS(CK122="YES", IF(CK123="NO","Discharge", "Charge"),CK111&gt;0,"Charge",CK111+CK114=0,"Idle")</f>
        <v>Charge</v>
      </c>
      <c r="CL121" s="1" t="s">
        <v>139</v>
      </c>
      <c r="CN121" s="90"/>
      <c r="CO121" s="90" t="str" cm="1">
        <f t="array" ref="CO121">_xlfn.IFS(CO122="YES", IF(CO123="NO","Discharge", "Charge"),CO111&gt;0,"Charge",CO111+CO114=0,"Idle")</f>
        <v>Charge</v>
      </c>
      <c r="CP121" s="90" t="str" cm="1">
        <f t="array" ref="CP121">_xlfn.IFS(CP122="YES", IF(CP123="NO","Discharge", "Charge"),CP111&gt;0,"Charge",CP111+CP114=0,"Idle")</f>
        <v>Charge</v>
      </c>
      <c r="CQ121" s="90" t="str" cm="1">
        <f t="array" ref="CQ121">_xlfn.IFS(CQ122="YES", IF(CQ123="NO","Discharge", "Charge"),CQ111&gt;0,"Charge",CQ111+CQ114=0,"Idle")</f>
        <v>Charge</v>
      </c>
      <c r="CR121" s="90" t="str" cm="1">
        <f t="array" ref="CR121">_xlfn.IFS(CR122="YES", IF(CR123="NO","Discharge", "Charge"),CR111&gt;0,"Charge",CR111+CR114=0,"Idle")</f>
        <v>Discharge</v>
      </c>
      <c r="CS121" s="90" t="str" cm="1">
        <f t="array" ref="CS121">_xlfn.IFS(CS122="YES", IF(CS123="NO","Discharge", "Charge"),CS111&gt;0,"Charge",CS111+CS114=0,"Idle")</f>
        <v>Discharge</v>
      </c>
      <c r="CT121" s="90" t="str" cm="1">
        <f t="array" ref="CT121">_xlfn.IFS(CT122="YES", IF(CT123="NO","Discharge", "Charge"),CT111&gt;0,"Charge",CT111+CT114=0,"Idle")</f>
        <v>Discharge</v>
      </c>
      <c r="CU121" s="90" t="str" cm="1">
        <f t="array" ref="CU121">_xlfn.IFS(CU122="YES", IF(CU123="NO","Discharge", "Charge"),CU111&gt;0,"Charge",CU111+CU114=0,"Idle")</f>
        <v>Discharge</v>
      </c>
      <c r="CV121" s="90" t="str" cm="1">
        <f t="array" ref="CV121">_xlfn.IFS(CV122="YES", IF(CV123="NO","Discharge", "Charge"),CV111&gt;0,"Charge",CV111+CV114=0,"Idle")</f>
        <v>Discharge</v>
      </c>
      <c r="CW121" s="90" t="str" cm="1">
        <f t="array" ref="CW121">_xlfn.IFS(CW122="YES", IF(CW123="NO","Discharge", "Charge"),CW111&gt;0,"Charge",CW111+CW114=0,"Idle")</f>
        <v>Discharge</v>
      </c>
      <c r="CX121" s="90" t="str" cm="1">
        <f t="array" ref="CX121">_xlfn.IFS(CX122="YES", IF(CX123="NO","Discharge", "Charge"),CX111&gt;0,"Charge",CX111+CX114=0,"Idle")</f>
        <v>Discharge</v>
      </c>
      <c r="CY121" s="90" t="str" cm="1">
        <f t="array" ref="CY121">_xlfn.IFS(CY122="YES", IF(CY123="NO","Discharge", "Charge"),CY111&gt;0,"Charge",CY111+CY114=0,"Idle")</f>
        <v>Discharge</v>
      </c>
      <c r="CZ121" s="90" t="str" cm="1">
        <f t="array" ref="CZ121">_xlfn.IFS(CZ122="YES", IF(CZ123="NO","Discharge", "Charge"),CZ111&gt;0,"Charge",CZ111+CZ114=0,"Idle")</f>
        <v>Discharge</v>
      </c>
      <c r="DA121" s="90" t="str" cm="1">
        <f t="array" ref="DA121">_xlfn.IFS(DA122="YES", IF(DA123="NO","Discharge", "Charge"),DA111&gt;0,"Charge",DA111+DA114=0,"Idle")</f>
        <v>Discharge</v>
      </c>
      <c r="DB121" s="90" t="str" cm="1">
        <f t="array" ref="DB121">_xlfn.IFS(DB122="YES", IF(DB123="NO","Discharge", "Charge"),DB111&gt;0,"Charge",DB111+DB114=0,"Idle")</f>
        <v>Discharge</v>
      </c>
      <c r="DC121" s="90" t="str" cm="1">
        <f t="array" ref="DC121">_xlfn.IFS(DC122="YES", IF(DC123="NO","Discharge", "Charge"),DC111&gt;0,"Charge",DC111+DC114=0,"Idle")</f>
        <v>Discharge</v>
      </c>
      <c r="DD121" s="90" t="str" cm="1">
        <f t="array" ref="DD121">_xlfn.IFS(DD122="YES", IF(DD123="NO","Discharge", "Charge"),DD111&gt;0,"Charge",DD111+DD114=0,"Idle")</f>
        <v>Discharge</v>
      </c>
      <c r="DE121" s="90" t="str" cm="1">
        <f t="array" ref="DE121">_xlfn.IFS(DE122="YES", IF(DE123="NO","Discharge", "Charge"),DE111&gt;0,"Charge",DE111+DE114=0,"Idle")</f>
        <v>Discharge</v>
      </c>
      <c r="DF121" s="90" t="str" cm="1">
        <f t="array" ref="DF121">_xlfn.IFS(DF122="YES", IF(DF123="NO","Discharge", "Charge"),DF111&gt;0,"Charge",DF111+DF114=0,"Idle")</f>
        <v>Discharge</v>
      </c>
      <c r="DG121" s="90" t="str" cm="1">
        <f t="array" ref="DG121">_xlfn.IFS(DG122="YES", IF(DG123="NO","Discharge", "Charge"),DG111&gt;0,"Charge",DG111+DG114=0,"Idle")</f>
        <v>Discharge</v>
      </c>
      <c r="DH121" s="90" t="str" cm="1">
        <f t="array" ref="DH121">_xlfn.IFS(DH122="YES", IF(DH123="NO","Discharge", "Charge"),DH111&gt;0,"Charge",DH111+DH114=0,"Idle")</f>
        <v>Discharge</v>
      </c>
      <c r="DI121" s="90" t="str" cm="1">
        <f t="array" ref="DI121">_xlfn.IFS(DI122="YES", IF(DI123="NO","Discharge", "Charge"),DI111&gt;0,"Charge",DI111+DI114=0,"Idle")</f>
        <v>Discharge</v>
      </c>
      <c r="DJ121" s="90" t="str" cm="1">
        <f t="array" ref="DJ121">_xlfn.IFS(DJ122="YES", IF(DJ123="NO","Discharge", "Charge"),DJ111&gt;0,"Charge",DJ111+DJ114=0,"Idle")</f>
        <v>Discharge</v>
      </c>
      <c r="DK121" s="90" t="str" cm="1">
        <f t="array" ref="DK121">_xlfn.IFS(DK122="YES", IF(DK123="NO","Discharge", "Charge"),DK111&gt;0,"Charge",DK111+DK114=0,"Idle")</f>
        <v>Discharge</v>
      </c>
      <c r="DL121" s="1" t="s">
        <v>139</v>
      </c>
      <c r="DN121" s="90"/>
      <c r="DO121" s="90" t="str" cm="1">
        <f t="array" ref="DO121">_xlfn.IFS(DO122="YES", IF(DO123="NO","Discharge", "Charge"),DO111&gt;0,"Charge",DO111+DO114=0,"Idle")</f>
        <v>Charge</v>
      </c>
      <c r="DP121" s="90" t="str" cm="1">
        <f t="array" ref="DP121">_xlfn.IFS(DP122="YES", IF(DP123="NO","Discharge", "Charge"),DP111&gt;0,"Charge",DP111+DP114=0,"Idle")</f>
        <v>Charge</v>
      </c>
      <c r="DQ121" s="90" t="str" cm="1">
        <f t="array" ref="DQ121">_xlfn.IFS(DQ122="YES", IF(DQ123="NO","Discharge", "Charge"),DQ111&gt;0,"Charge",DQ111+DQ114=0,"Idle")</f>
        <v>Charge</v>
      </c>
      <c r="DR121" s="90" t="str" cm="1">
        <f t="array" ref="DR121">_xlfn.IFS(DR122="YES", IF(DR123="NO","Discharge", "Charge"),DR111&gt;0,"Charge",DR111+DR114=0,"Idle")</f>
        <v>Discharge</v>
      </c>
      <c r="DS121" s="90" t="str" cm="1">
        <f t="array" ref="DS121">_xlfn.IFS(DS122="YES", IF(DS123="NO","Discharge", "Charge"),DS111&gt;0,"Charge",DS111+DS114=0,"Idle")</f>
        <v>Discharge</v>
      </c>
      <c r="DT121" s="90" t="str" cm="1">
        <f t="array" ref="DT121">_xlfn.IFS(DT122="YES", IF(DT123="NO","Discharge", "Charge"),DT111&gt;0,"Charge",DT111+DT114=0,"Idle")</f>
        <v>Discharge</v>
      </c>
      <c r="DU121" s="90" t="str" cm="1">
        <f t="array" ref="DU121">_xlfn.IFS(DU122="YES", IF(DU123="NO","Discharge", "Charge"),DU111&gt;0,"Charge",DU111+DU114=0,"Idle")</f>
        <v>Discharge</v>
      </c>
      <c r="DV121" s="90" t="str" cm="1">
        <f t="array" ref="DV121">_xlfn.IFS(DV122="YES", IF(DV123="NO","Discharge", "Charge"),DV111&gt;0,"Charge",DV111+DV114=0,"Idle")</f>
        <v>Discharge</v>
      </c>
      <c r="DW121" s="90" t="str" cm="1">
        <f t="array" ref="DW121">_xlfn.IFS(DW122="YES", IF(DW123="NO","Discharge", "Charge"),DW111&gt;0,"Charge",DW111+DW114=0,"Idle")</f>
        <v>Discharge</v>
      </c>
      <c r="DX121" s="90" t="str" cm="1">
        <f t="array" ref="DX121">_xlfn.IFS(DX122="YES", IF(DX123="NO","Discharge", "Charge"),DX111&gt;0,"Charge",DX111+DX114=0,"Idle")</f>
        <v>Discharge</v>
      </c>
      <c r="DY121" s="90" t="str" cm="1">
        <f t="array" ref="DY121">_xlfn.IFS(DY122="YES", IF(DY123="NO","Discharge", "Charge"),DY111&gt;0,"Charge",DY111+DY114=0,"Idle")</f>
        <v>Discharge</v>
      </c>
      <c r="DZ121" s="90" t="str" cm="1">
        <f t="array" ref="DZ121">_xlfn.IFS(DZ122="YES", IF(DZ123="NO","Discharge", "Charge"),DZ111&gt;0,"Charge",DZ111+DZ114=0,"Idle")</f>
        <v>Discharge</v>
      </c>
      <c r="EA121" s="90" t="str" cm="1">
        <f t="array" ref="EA121">_xlfn.IFS(EA122="YES", IF(EA123="NO","Discharge", "Charge"),EA111&gt;0,"Charge",EA111+EA114=0,"Idle")</f>
        <v>Discharge</v>
      </c>
      <c r="EB121" s="90" t="str" cm="1">
        <f t="array" ref="EB121">_xlfn.IFS(EB122="YES", IF(EB123="NO","Discharge", "Charge"),EB111&gt;0,"Charge",EB111+EB114=0,"Idle")</f>
        <v>Discharge</v>
      </c>
      <c r="EC121" s="90" t="str" cm="1">
        <f t="array" ref="EC121">_xlfn.IFS(EC122="YES", IF(EC123="NO","Discharge", "Charge"),EC111&gt;0,"Charge",EC111+EC114=0,"Idle")</f>
        <v>Discharge</v>
      </c>
      <c r="ED121" s="90" t="str" cm="1">
        <f t="array" ref="ED121">_xlfn.IFS(ED122="YES", IF(ED123="NO","Discharge", "Charge"),ED111&gt;0,"Charge",ED111+ED114=0,"Idle")</f>
        <v>Discharge</v>
      </c>
      <c r="EE121" s="90" t="str" cm="1">
        <f t="array" ref="EE121">_xlfn.IFS(EE122="YES", IF(EE123="NO","Discharge", "Charge"),EE111&gt;0,"Charge",EE111+EE114=0,"Idle")</f>
        <v>Discharge</v>
      </c>
      <c r="EF121" s="90" t="str" cm="1">
        <f t="array" ref="EF121">_xlfn.IFS(EF122="YES", IF(EF123="NO","Discharge", "Charge"),EF111&gt;0,"Charge",EF111+EF114=0,"Idle")</f>
        <v>Discharge</v>
      </c>
      <c r="EG121" s="90" t="str" cm="1">
        <f t="array" ref="EG121">_xlfn.IFS(EG122="YES", IF(EG123="NO","Discharge", "Charge"),EG111&gt;0,"Charge",EG111+EG114=0,"Idle")</f>
        <v>Discharge</v>
      </c>
      <c r="EH121" s="90" t="str" cm="1">
        <f t="array" ref="EH121">_xlfn.IFS(EH122="YES", IF(EH123="NO","Discharge", "Charge"),EH111&gt;0,"Charge",EH111+EH114=0,"Idle")</f>
        <v>Discharge</v>
      </c>
      <c r="EI121" s="90" t="str" cm="1">
        <f t="array" ref="EI121">_xlfn.IFS(EI122="YES", IF(EI123="NO","Discharge", "Charge"),EI111&gt;0,"Charge",EI111+EI114=0,"Idle")</f>
        <v>Discharge</v>
      </c>
      <c r="EJ121" s="90" t="str" cm="1">
        <f t="array" ref="EJ121">_xlfn.IFS(EJ122="YES", IF(EJ123="NO","Discharge", "Charge"),EJ111&gt;0,"Charge",EJ111+EJ114=0,"Idle")</f>
        <v>Discharge</v>
      </c>
      <c r="EK121" s="90" t="str" cm="1">
        <f t="array" ref="EK121">_xlfn.IFS(EK122="YES", IF(EK123="NO","Discharge", "Charge"),EK111&gt;0,"Charge",EK111+EK114=0,"Idle")</f>
        <v>Discharge</v>
      </c>
      <c r="EL121" s="1" t="s">
        <v>139</v>
      </c>
      <c r="EN121" s="90"/>
      <c r="EO121" s="90" t="str" cm="1">
        <f t="array" ref="EO121">_xlfn.IFS(EO122="YES", IF(EO123="NO","Discharge", "Charge"),EO111&gt;0,"Charge",EO111+EO114=0,"Idle")</f>
        <v>Charge</v>
      </c>
      <c r="EP121" s="90" t="str" cm="1">
        <f t="array" ref="EP121">_xlfn.IFS(EP122="YES", IF(EP123="NO","Discharge", "Charge"),EP111&gt;0,"Charge",EP111+EP114=0,"Idle")</f>
        <v>Discharge</v>
      </c>
      <c r="EQ121" s="90" t="str" cm="1">
        <f t="array" ref="EQ121">_xlfn.IFS(EQ122="YES", IF(EQ123="NO","Discharge", "Charge"),EQ111&gt;0,"Charge",EQ111+EQ114=0,"Idle")</f>
        <v>Discharge</v>
      </c>
      <c r="ER121" s="90" t="str" cm="1">
        <f t="array" ref="ER121">_xlfn.IFS(ER122="YES", IF(ER123="NO","Discharge", "Charge"),ER111&gt;0,"Charge",ER111+ER114=0,"Idle")</f>
        <v>Discharge</v>
      </c>
      <c r="ES121" s="90" t="str" cm="1">
        <f t="array" ref="ES121">_xlfn.IFS(ES122="YES", IF(ES123="NO","Discharge", "Charge"),ES111&gt;0,"Charge",ES111+ES114=0,"Idle")</f>
        <v>Discharge</v>
      </c>
      <c r="ET121" s="90" t="str" cm="1">
        <f t="array" ref="ET121">_xlfn.IFS(ET122="YES", IF(ET123="NO","Discharge", "Charge"),ET111&gt;0,"Charge",ET111+ET114=0,"Idle")</f>
        <v>Discharge</v>
      </c>
      <c r="EU121" s="90" t="str" cm="1">
        <f t="array" ref="EU121">_xlfn.IFS(EU122="YES", IF(EU123="NO","Discharge", "Charge"),EU111&gt;0,"Charge",EU111+EU114=0,"Idle")</f>
        <v>Discharge</v>
      </c>
      <c r="EV121" s="90" t="str" cm="1">
        <f t="array" ref="EV121">_xlfn.IFS(EV122="YES", IF(EV123="NO","Discharge", "Charge"),EV111&gt;0,"Charge",EV111+EV114=0,"Idle")</f>
        <v>Charge</v>
      </c>
      <c r="EW121" s="90" t="str" cm="1">
        <f t="array" ref="EW121">_xlfn.IFS(EW122="YES", IF(EW123="NO","Discharge", "Charge"),EW111&gt;0,"Charge",EW111+EW114=0,"Idle")</f>
        <v>Discharge</v>
      </c>
      <c r="EX121" s="90" t="str" cm="1">
        <f t="array" ref="EX121">_xlfn.IFS(EX122="YES", IF(EX123="NO","Discharge", "Charge"),EX111&gt;0,"Charge",EX111+EX114=0,"Idle")</f>
        <v>Discharge</v>
      </c>
      <c r="EY121" s="90" t="str" cm="1">
        <f t="array" ref="EY121">_xlfn.IFS(EY122="YES", IF(EY123="NO","Discharge", "Charge"),EY111&gt;0,"Charge",EY111+EY114=0,"Idle")</f>
        <v>Discharge</v>
      </c>
      <c r="EZ121" s="90" t="str" cm="1">
        <f t="array" ref="EZ121">_xlfn.IFS(EZ122="YES", IF(EZ123="NO","Discharge", "Charge"),EZ111&gt;0,"Charge",EZ111+EZ114=0,"Idle")</f>
        <v>Discharge</v>
      </c>
      <c r="FA121" s="90" t="str" cm="1">
        <f t="array" ref="FA121">_xlfn.IFS(FA122="YES", IF(FA123="NO","Discharge", "Charge"),FA111&gt;0,"Charge",FA111+FA114=0,"Idle")</f>
        <v>Discharge</v>
      </c>
      <c r="FB121" s="90" t="str" cm="1">
        <f t="array" ref="FB121">_xlfn.IFS(FB122="YES", IF(FB123="NO","Discharge", "Charge"),FB111&gt;0,"Charge",FB111+FB114=0,"Idle")</f>
        <v>Discharge</v>
      </c>
      <c r="FC121" s="90" t="str" cm="1">
        <f t="array" ref="FC121">_xlfn.IFS(FC122="YES", IF(FC123="NO","Discharge", "Charge"),FC111&gt;0,"Charge",FC111+FC114=0,"Idle")</f>
        <v>Discharge</v>
      </c>
      <c r="FD121" s="90" t="str" cm="1">
        <f t="array" ref="FD121">_xlfn.IFS(FD122="YES", IF(FD123="NO","Discharge", "Charge"),FD111&gt;0,"Charge",FD111+FD114=0,"Idle")</f>
        <v>Discharge</v>
      </c>
      <c r="FE121" s="90" t="str" cm="1">
        <f t="array" ref="FE121">_xlfn.IFS(FE122="YES", IF(FE123="NO","Discharge", "Charge"),FE111&gt;0,"Charge",FE111+FE114=0,"Idle")</f>
        <v>Charge</v>
      </c>
      <c r="FF121" s="90" t="str" cm="1">
        <f t="array" ref="FF121">_xlfn.IFS(FF122="YES", IF(FF123="NO","Discharge", "Charge"),FF111&gt;0,"Charge",FF111+FF114=0,"Idle")</f>
        <v>Discharge</v>
      </c>
      <c r="FG121" s="90" t="str" cm="1">
        <f t="array" ref="FG121">_xlfn.IFS(FG122="YES", IF(FG123="NO","Discharge", "Charge"),FG111&gt;0,"Charge",FG111+FG114=0,"Idle")</f>
        <v>Discharge</v>
      </c>
      <c r="FH121" s="90" t="str" cm="1">
        <f t="array" ref="FH121">_xlfn.IFS(FH122="YES", IF(FH123="NO","Discharge", "Charge"),FH111&gt;0,"Charge",FH111+FH114=0,"Idle")</f>
        <v>Discharge</v>
      </c>
      <c r="FI121" s="90" t="str" cm="1">
        <f t="array" ref="FI121">_xlfn.IFS(FI122="YES", IF(FI123="NO","Discharge", "Charge"),FI111&gt;0,"Charge",FI111+FI114=0,"Idle")</f>
        <v>Discharge</v>
      </c>
      <c r="FJ121" s="90" t="str" cm="1">
        <f t="array" ref="FJ121">_xlfn.IFS(FJ122="YES", IF(FJ123="NO","Discharge", "Charge"),FJ111&gt;0,"Charge",FJ111+FJ114=0,"Idle")</f>
        <v>Discharge</v>
      </c>
      <c r="FK121" s="90" t="str" cm="1">
        <f t="array" ref="FK121">_xlfn.IFS(FK122="YES", IF(FK123="NO","Discharge", "Charge"),FK111&gt;0,"Charge",FK111+FK114=0,"Idle")</f>
        <v>Discharge</v>
      </c>
    </row>
    <row r="122" spans="2:167" x14ac:dyDescent="0.25">
      <c r="B122" s="37"/>
      <c r="J122" s="38"/>
      <c r="L122" s="1" t="s">
        <v>185</v>
      </c>
      <c r="O122" s="48" t="str">
        <f>IF(O114&gt;0,"YES", "NO")</f>
        <v>NO</v>
      </c>
      <c r="P122" s="48" t="str">
        <f t="shared" ref="P122:AK122" si="2244">IF(P114&gt;0,"YES", "NO")</f>
        <v>NO</v>
      </c>
      <c r="Q122" s="48" t="str">
        <f t="shared" si="2244"/>
        <v>NO</v>
      </c>
      <c r="R122" s="48" t="str">
        <f t="shared" si="2244"/>
        <v>NO</v>
      </c>
      <c r="S122" s="48" t="str">
        <f t="shared" si="2244"/>
        <v>YES</v>
      </c>
      <c r="T122" s="48" t="str">
        <f t="shared" si="2244"/>
        <v>YES</v>
      </c>
      <c r="U122" s="48" t="str">
        <f t="shared" si="2244"/>
        <v>YES</v>
      </c>
      <c r="V122" s="48" t="str">
        <f t="shared" si="2244"/>
        <v>YES</v>
      </c>
      <c r="W122" s="48" t="str">
        <f t="shared" si="2244"/>
        <v>YES</v>
      </c>
      <c r="X122" s="48" t="str">
        <f t="shared" si="2244"/>
        <v>YES</v>
      </c>
      <c r="Y122" s="48" t="str">
        <f t="shared" si="2244"/>
        <v>YES</v>
      </c>
      <c r="Z122" s="48" t="str">
        <f t="shared" si="2244"/>
        <v>YES</v>
      </c>
      <c r="AA122" s="48" t="str">
        <f t="shared" si="2244"/>
        <v>YES</v>
      </c>
      <c r="AB122" s="48" t="str">
        <f t="shared" si="2244"/>
        <v>YES</v>
      </c>
      <c r="AC122" s="48" t="str">
        <f t="shared" si="2244"/>
        <v>YES</v>
      </c>
      <c r="AD122" s="48" t="str">
        <f t="shared" si="2244"/>
        <v>YES</v>
      </c>
      <c r="AE122" s="48" t="str">
        <f t="shared" si="2244"/>
        <v>YES</v>
      </c>
      <c r="AF122" s="48" t="str">
        <f t="shared" si="2244"/>
        <v>YES</v>
      </c>
      <c r="AG122" s="48" t="str">
        <f t="shared" si="2244"/>
        <v>YES</v>
      </c>
      <c r="AH122" s="48" t="str">
        <f t="shared" si="2244"/>
        <v>YES</v>
      </c>
      <c r="AI122" s="48" t="str">
        <f t="shared" si="2244"/>
        <v>YES</v>
      </c>
      <c r="AJ122" s="48" t="str">
        <f t="shared" si="2244"/>
        <v>NO</v>
      </c>
      <c r="AK122" s="48" t="str">
        <f t="shared" si="2244"/>
        <v>NO</v>
      </c>
      <c r="AL122" s="1" t="s">
        <v>185</v>
      </c>
      <c r="AO122" s="48" t="str">
        <f>IF(AO114&gt;0,"YES", "NO")</f>
        <v>NO</v>
      </c>
      <c r="AP122" s="48" t="str">
        <f t="shared" ref="AP122:BK122" si="2245">IF(AP114&gt;0,"YES", "NO")</f>
        <v>NO</v>
      </c>
      <c r="AQ122" s="48" t="str">
        <f t="shared" si="2245"/>
        <v>NO</v>
      </c>
      <c r="AR122" s="48" t="str">
        <f t="shared" si="2245"/>
        <v>NO</v>
      </c>
      <c r="AS122" s="48" t="str">
        <f t="shared" si="2245"/>
        <v>YES</v>
      </c>
      <c r="AT122" s="48" t="str">
        <f t="shared" si="2245"/>
        <v>YES</v>
      </c>
      <c r="AU122" s="48" t="str">
        <f t="shared" si="2245"/>
        <v>YES</v>
      </c>
      <c r="AV122" s="48" t="str">
        <f t="shared" si="2245"/>
        <v>YES</v>
      </c>
      <c r="AW122" s="48" t="str">
        <f t="shared" si="2245"/>
        <v>YES</v>
      </c>
      <c r="AX122" s="48" t="str">
        <f t="shared" si="2245"/>
        <v>YES</v>
      </c>
      <c r="AY122" s="48" t="str">
        <f t="shared" si="2245"/>
        <v>YES</v>
      </c>
      <c r="AZ122" s="48" t="str">
        <f t="shared" si="2245"/>
        <v>YES</v>
      </c>
      <c r="BA122" s="48" t="str">
        <f t="shared" si="2245"/>
        <v>YES</v>
      </c>
      <c r="BB122" s="48" t="str">
        <f t="shared" si="2245"/>
        <v>YES</v>
      </c>
      <c r="BC122" s="48" t="str">
        <f t="shared" si="2245"/>
        <v>YES</v>
      </c>
      <c r="BD122" s="48" t="str">
        <f t="shared" si="2245"/>
        <v>YES</v>
      </c>
      <c r="BE122" s="48" t="str">
        <f t="shared" si="2245"/>
        <v>YES</v>
      </c>
      <c r="BF122" s="48" t="str">
        <f t="shared" si="2245"/>
        <v>YES</v>
      </c>
      <c r="BG122" s="48" t="str">
        <f t="shared" si="2245"/>
        <v>YES</v>
      </c>
      <c r="BH122" s="48" t="str">
        <f t="shared" si="2245"/>
        <v>YES</v>
      </c>
      <c r="BI122" s="48" t="str">
        <f t="shared" si="2245"/>
        <v>YES</v>
      </c>
      <c r="BJ122" s="48" t="str">
        <f t="shared" si="2245"/>
        <v>YES</v>
      </c>
      <c r="BK122" s="48" t="str">
        <f t="shared" si="2245"/>
        <v>YES</v>
      </c>
      <c r="BL122" s="1" t="s">
        <v>185</v>
      </c>
      <c r="BO122" s="48" t="str">
        <f>IF(BO114&gt;0,"YES", "NO")</f>
        <v>NO</v>
      </c>
      <c r="BP122" s="48" t="str">
        <f t="shared" ref="BP122:CK122" si="2246">IF(BP114&gt;0,"YES", "NO")</f>
        <v>NO</v>
      </c>
      <c r="BQ122" s="48" t="str">
        <f t="shared" si="2246"/>
        <v>NO</v>
      </c>
      <c r="BR122" s="48" t="str">
        <f t="shared" si="2246"/>
        <v>NO</v>
      </c>
      <c r="BS122" s="48" t="str">
        <f t="shared" si="2246"/>
        <v>YES</v>
      </c>
      <c r="BT122" s="48" t="str">
        <f t="shared" si="2246"/>
        <v>YES</v>
      </c>
      <c r="BU122" s="48" t="str">
        <f t="shared" si="2246"/>
        <v>YES</v>
      </c>
      <c r="BV122" s="48" t="str">
        <f t="shared" si="2246"/>
        <v>YES</v>
      </c>
      <c r="BW122" s="48" t="str">
        <f t="shared" si="2246"/>
        <v>YES</v>
      </c>
      <c r="BX122" s="48" t="str">
        <f t="shared" si="2246"/>
        <v>YES</v>
      </c>
      <c r="BY122" s="48" t="str">
        <f t="shared" si="2246"/>
        <v>YES</v>
      </c>
      <c r="BZ122" s="48" t="str">
        <f t="shared" si="2246"/>
        <v>YES</v>
      </c>
      <c r="CA122" s="48" t="str">
        <f t="shared" si="2246"/>
        <v>YES</v>
      </c>
      <c r="CB122" s="48" t="str">
        <f t="shared" si="2246"/>
        <v>YES</v>
      </c>
      <c r="CC122" s="48" t="str">
        <f t="shared" si="2246"/>
        <v>YES</v>
      </c>
      <c r="CD122" s="48" t="str">
        <f t="shared" si="2246"/>
        <v>YES</v>
      </c>
      <c r="CE122" s="48" t="str">
        <f t="shared" si="2246"/>
        <v>YES</v>
      </c>
      <c r="CF122" s="48" t="str">
        <f t="shared" si="2246"/>
        <v>YES</v>
      </c>
      <c r="CG122" s="48" t="str">
        <f t="shared" si="2246"/>
        <v>YES</v>
      </c>
      <c r="CH122" s="48" t="str">
        <f t="shared" si="2246"/>
        <v>YES</v>
      </c>
      <c r="CI122" s="48" t="str">
        <f t="shared" si="2246"/>
        <v>YES</v>
      </c>
      <c r="CJ122" s="48" t="str">
        <f t="shared" si="2246"/>
        <v>YES</v>
      </c>
      <c r="CK122" s="48" t="str">
        <f t="shared" si="2246"/>
        <v>NO</v>
      </c>
      <c r="CL122" s="1" t="s">
        <v>185</v>
      </c>
      <c r="CO122" s="48" t="str">
        <f>IF(CO114&gt;0,"YES", "NO")</f>
        <v>NO</v>
      </c>
      <c r="CP122" s="48" t="str">
        <f t="shared" ref="CP122:DK122" si="2247">IF(CP114&gt;0,"YES", "NO")</f>
        <v>NO</v>
      </c>
      <c r="CQ122" s="48" t="str">
        <f t="shared" si="2247"/>
        <v>NO</v>
      </c>
      <c r="CR122" s="48" t="str">
        <f t="shared" si="2247"/>
        <v>YES</v>
      </c>
      <c r="CS122" s="48" t="str">
        <f t="shared" si="2247"/>
        <v>YES</v>
      </c>
      <c r="CT122" s="48" t="str">
        <f t="shared" si="2247"/>
        <v>YES</v>
      </c>
      <c r="CU122" s="48" t="str">
        <f t="shared" si="2247"/>
        <v>YES</v>
      </c>
      <c r="CV122" s="48" t="str">
        <f t="shared" si="2247"/>
        <v>YES</v>
      </c>
      <c r="CW122" s="48" t="str">
        <f t="shared" si="2247"/>
        <v>YES</v>
      </c>
      <c r="CX122" s="48" t="str">
        <f t="shared" si="2247"/>
        <v>YES</v>
      </c>
      <c r="CY122" s="48" t="str">
        <f t="shared" si="2247"/>
        <v>YES</v>
      </c>
      <c r="CZ122" s="48" t="str">
        <f t="shared" si="2247"/>
        <v>YES</v>
      </c>
      <c r="DA122" s="48" t="str">
        <f t="shared" si="2247"/>
        <v>YES</v>
      </c>
      <c r="DB122" s="48" t="str">
        <f t="shared" si="2247"/>
        <v>YES</v>
      </c>
      <c r="DC122" s="48" t="str">
        <f t="shared" si="2247"/>
        <v>YES</v>
      </c>
      <c r="DD122" s="48" t="str">
        <f t="shared" si="2247"/>
        <v>YES</v>
      </c>
      <c r="DE122" s="48" t="str">
        <f t="shared" si="2247"/>
        <v>YES</v>
      </c>
      <c r="DF122" s="48" t="str">
        <f t="shared" si="2247"/>
        <v>YES</v>
      </c>
      <c r="DG122" s="48" t="str">
        <f t="shared" si="2247"/>
        <v>YES</v>
      </c>
      <c r="DH122" s="48" t="str">
        <f t="shared" si="2247"/>
        <v>YES</v>
      </c>
      <c r="DI122" s="48" t="str">
        <f t="shared" si="2247"/>
        <v>YES</v>
      </c>
      <c r="DJ122" s="48" t="str">
        <f t="shared" si="2247"/>
        <v>YES</v>
      </c>
      <c r="DK122" s="48" t="str">
        <f t="shared" si="2247"/>
        <v>YES</v>
      </c>
      <c r="DL122" s="1" t="s">
        <v>185</v>
      </c>
      <c r="DO122" s="48" t="str">
        <f>IF(DO114&gt;0,"YES", "NO")</f>
        <v>NO</v>
      </c>
      <c r="DP122" s="48" t="str">
        <f t="shared" ref="DP122:EK122" si="2248">IF(DP114&gt;0,"YES", "NO")</f>
        <v>NO</v>
      </c>
      <c r="DQ122" s="48" t="str">
        <f t="shared" si="2248"/>
        <v>NO</v>
      </c>
      <c r="DR122" s="48" t="str">
        <f t="shared" si="2248"/>
        <v>YES</v>
      </c>
      <c r="DS122" s="48" t="str">
        <f t="shared" si="2248"/>
        <v>YES</v>
      </c>
      <c r="DT122" s="48" t="str">
        <f t="shared" si="2248"/>
        <v>YES</v>
      </c>
      <c r="DU122" s="48" t="str">
        <f t="shared" si="2248"/>
        <v>YES</v>
      </c>
      <c r="DV122" s="48" t="str">
        <f t="shared" si="2248"/>
        <v>YES</v>
      </c>
      <c r="DW122" s="48" t="str">
        <f t="shared" si="2248"/>
        <v>YES</v>
      </c>
      <c r="DX122" s="48" t="str">
        <f t="shared" si="2248"/>
        <v>YES</v>
      </c>
      <c r="DY122" s="48" t="str">
        <f t="shared" si="2248"/>
        <v>YES</v>
      </c>
      <c r="DZ122" s="48" t="str">
        <f t="shared" si="2248"/>
        <v>YES</v>
      </c>
      <c r="EA122" s="48" t="str">
        <f t="shared" si="2248"/>
        <v>YES</v>
      </c>
      <c r="EB122" s="48" t="str">
        <f t="shared" si="2248"/>
        <v>YES</v>
      </c>
      <c r="EC122" s="48" t="str">
        <f t="shared" si="2248"/>
        <v>YES</v>
      </c>
      <c r="ED122" s="48" t="str">
        <f t="shared" si="2248"/>
        <v>YES</v>
      </c>
      <c r="EE122" s="48" t="str">
        <f t="shared" si="2248"/>
        <v>YES</v>
      </c>
      <c r="EF122" s="48" t="str">
        <f t="shared" si="2248"/>
        <v>YES</v>
      </c>
      <c r="EG122" s="48" t="str">
        <f t="shared" si="2248"/>
        <v>YES</v>
      </c>
      <c r="EH122" s="48" t="str">
        <f t="shared" si="2248"/>
        <v>YES</v>
      </c>
      <c r="EI122" s="48" t="str">
        <f t="shared" si="2248"/>
        <v>YES</v>
      </c>
      <c r="EJ122" s="48" t="str">
        <f t="shared" si="2248"/>
        <v>YES</v>
      </c>
      <c r="EK122" s="48" t="str">
        <f t="shared" si="2248"/>
        <v>YES</v>
      </c>
      <c r="EL122" s="1" t="s">
        <v>185</v>
      </c>
      <c r="EO122" s="48" t="str">
        <f>IF(EO114&gt;0,"YES", "NO")</f>
        <v>YES</v>
      </c>
      <c r="EP122" s="48" t="str">
        <f t="shared" ref="EP122:FK122" si="2249">IF(EP114&gt;0,"YES", "NO")</f>
        <v>YES</v>
      </c>
      <c r="EQ122" s="48" t="str">
        <f t="shared" si="2249"/>
        <v>YES</v>
      </c>
      <c r="ER122" s="48" t="str">
        <f t="shared" si="2249"/>
        <v>YES</v>
      </c>
      <c r="ES122" s="48" t="str">
        <f t="shared" si="2249"/>
        <v>YES</v>
      </c>
      <c r="ET122" s="48" t="str">
        <f t="shared" si="2249"/>
        <v>YES</v>
      </c>
      <c r="EU122" s="48" t="str">
        <f t="shared" si="2249"/>
        <v>YES</v>
      </c>
      <c r="EV122" s="48" t="str">
        <f t="shared" si="2249"/>
        <v>YES</v>
      </c>
      <c r="EW122" s="48" t="str">
        <f t="shared" si="2249"/>
        <v>YES</v>
      </c>
      <c r="EX122" s="48" t="str">
        <f t="shared" si="2249"/>
        <v>YES</v>
      </c>
      <c r="EY122" s="48" t="str">
        <f t="shared" si="2249"/>
        <v>YES</v>
      </c>
      <c r="EZ122" s="48" t="str">
        <f t="shared" si="2249"/>
        <v>YES</v>
      </c>
      <c r="FA122" s="48" t="str">
        <f t="shared" si="2249"/>
        <v>YES</v>
      </c>
      <c r="FB122" s="48" t="str">
        <f t="shared" si="2249"/>
        <v>YES</v>
      </c>
      <c r="FC122" s="48" t="str">
        <f t="shared" si="2249"/>
        <v>YES</v>
      </c>
      <c r="FD122" s="48" t="str">
        <f t="shared" si="2249"/>
        <v>YES</v>
      </c>
      <c r="FE122" s="48" t="str">
        <f t="shared" si="2249"/>
        <v>YES</v>
      </c>
      <c r="FF122" s="48" t="str">
        <f t="shared" si="2249"/>
        <v>YES</v>
      </c>
      <c r="FG122" s="48" t="str">
        <f t="shared" si="2249"/>
        <v>YES</v>
      </c>
      <c r="FH122" s="48" t="str">
        <f t="shared" si="2249"/>
        <v>YES</v>
      </c>
      <c r="FI122" s="48" t="str">
        <f t="shared" si="2249"/>
        <v>YES</v>
      </c>
      <c r="FJ122" s="48" t="str">
        <f t="shared" si="2249"/>
        <v>YES</v>
      </c>
      <c r="FK122" s="48" t="str">
        <f t="shared" si="2249"/>
        <v>YES</v>
      </c>
    </row>
    <row r="123" spans="2:167" x14ac:dyDescent="0.25">
      <c r="B123" s="37"/>
      <c r="J123" s="38"/>
      <c r="L123" s="1" t="s">
        <v>184</v>
      </c>
      <c r="O123" s="48" t="str">
        <f t="shared" ref="O123" si="2250">IF(O122="NO",IF(N116+O111&gt;$E97*$E93,"YES", "NO"), IF(N116-(O114-O111)&lt;$E98*$E93,"YES","NO"))</f>
        <v>NO</v>
      </c>
      <c r="P123" s="48" t="str">
        <f t="shared" ref="P123" si="2251">IF(P122="NO",IF(O116+P111&gt;$E97*$E93,"YES", "NO"), IF(O116-(P114-P111)&lt;$E98*$E93,"YES","NO"))</f>
        <v>NO</v>
      </c>
      <c r="Q123" s="48" t="str">
        <f t="shared" ref="Q123" si="2252">IF(Q122="NO",IF(P116+Q111&gt;$E97*$E93,"YES", "NO"), IF(P116-(Q114-Q111)&lt;$E98*$E93,"YES","NO"))</f>
        <v>NO</v>
      </c>
      <c r="R123" s="48" t="str">
        <f t="shared" ref="R123" si="2253">IF(R122="NO",IF(Q116+R111&gt;$E97*$E93,"YES", "NO"), IF(Q116-(R114-R111)&lt;$E98*$E93,"YES","NO"))</f>
        <v>NO</v>
      </c>
      <c r="S123" s="48" t="str">
        <f t="shared" ref="S123" si="2254">IF(S122="NO",IF(R116+S111&gt;$E97*$E93,"YES", "NO"), IF(R116-(S114-S111)&lt;$E98*$E93,"YES","NO"))</f>
        <v>NO</v>
      </c>
      <c r="T123" s="48" t="str">
        <f t="shared" ref="T123" si="2255">IF(T122="NO",IF(S116+T111&gt;$E97*$E93,"YES", "NO"), IF(S116-(T114-T111)&lt;$E98*$E93,"YES","NO"))</f>
        <v>NO</v>
      </c>
      <c r="U123" s="48" t="str">
        <f t="shared" ref="U123" si="2256">IF(U122="NO",IF(T116+U111&gt;$E97*$E93,"YES", "NO"), IF(T116-(U114-U111)&lt;$E98*$E93,"YES","NO"))</f>
        <v>NO</v>
      </c>
      <c r="V123" s="48" t="str">
        <f t="shared" ref="V123" si="2257">IF(V122="NO",IF(U116+V111&gt;$E97*$E93,"YES", "NO"), IF(U116-(V114-V111)&lt;$E98*$E93,"YES","NO"))</f>
        <v>NO</v>
      </c>
      <c r="W123" s="48" t="str">
        <f t="shared" ref="W123" si="2258">IF(W122="NO",IF(V116+W111&gt;$E97*$E93,"YES", "NO"), IF(V116-(W114-W111)&lt;$E98*$E93,"YES","NO"))</f>
        <v>NO</v>
      </c>
      <c r="X123" s="48" t="str">
        <f t="shared" ref="X123" si="2259">IF(X122="NO",IF(W116+X111&gt;$E97*$E93,"YES", "NO"), IF(W116-(X114-X111)&lt;$E98*$E93,"YES","NO"))</f>
        <v>NO</v>
      </c>
      <c r="Y123" s="48" t="str">
        <f t="shared" ref="Y123" si="2260">IF(Y122="NO",IF(X116+Y111&gt;$E97*$E93,"YES", "NO"), IF(X116-(Y114-Y111)&lt;$E98*$E93,"YES","NO"))</f>
        <v>NO</v>
      </c>
      <c r="Z123" s="48" t="str">
        <f t="shared" ref="Z123" si="2261">IF(Z122="NO",IF(Y116+Z111&gt;$E97*$E93,"YES", "NO"), IF(Y116-(Z114-Z111)&lt;$E98*$E93,"YES","NO"))</f>
        <v>NO</v>
      </c>
      <c r="AA123" s="48" t="str">
        <f t="shared" ref="AA123" si="2262">IF(AA122="NO",IF(Z116+AA111&gt;$E97*$E93,"YES", "NO"), IF(Z116-(AA114-AA111)&lt;$E98*$E93,"YES","NO"))</f>
        <v>NO</v>
      </c>
      <c r="AB123" s="48" t="str">
        <f t="shared" ref="AB123" si="2263">IF(AB122="NO",IF(AA116+AB111&gt;$E97*$E93,"YES", "NO"), IF(AA116-(AB114-AB111)&lt;$E98*$E93,"YES","NO"))</f>
        <v>NO</v>
      </c>
      <c r="AC123" s="48" t="str">
        <f t="shared" ref="AC123" si="2264">IF(AC122="NO",IF(AB116+AC111&gt;$E97*$E93,"YES", "NO"), IF(AB116-(AC114-AC111)&lt;$E98*$E93,"YES","NO"))</f>
        <v>NO</v>
      </c>
      <c r="AD123" s="48" t="str">
        <f t="shared" ref="AD123" si="2265">IF(AD122="NO",IF(AC116+AD111&gt;$E97*$E93,"YES", "NO"), IF(AC116-(AD114-AD111)&lt;$E98*$E93,"YES","NO"))</f>
        <v>NO</v>
      </c>
      <c r="AE123" s="48" t="str">
        <f t="shared" ref="AE123" si="2266">IF(AE122="NO",IF(AD116+AE111&gt;$E97*$E93,"YES", "NO"), IF(AD116-(AE114-AE111)&lt;$E98*$E93,"YES","NO"))</f>
        <v>NO</v>
      </c>
      <c r="AF123" s="48" t="str">
        <f t="shared" ref="AF123" si="2267">IF(AF122="NO",IF(AE116+AF111&gt;$E97*$E93,"YES", "NO"), IF(AE116-(AF114-AF111)&lt;$E98*$E93,"YES","NO"))</f>
        <v>NO</v>
      </c>
      <c r="AG123" s="48" t="str">
        <f t="shared" ref="AG123" si="2268">IF(AG122="NO",IF(AF116+AG111&gt;$E97*$E93,"YES", "NO"), IF(AF116-(AG114-AG111)&lt;$E98*$E93,"YES","NO"))</f>
        <v>NO</v>
      </c>
      <c r="AH123" s="48" t="str">
        <f t="shared" ref="AH123" si="2269">IF(AH122="NO",IF(AG116+AH111&gt;$E97*$E93,"YES", "NO"), IF(AG116-(AH114-AH111)&lt;$E98*$E93,"YES","NO"))</f>
        <v>NO</v>
      </c>
      <c r="AI123" s="48" t="str">
        <f t="shared" ref="AI123" si="2270">IF(AI122="NO",IF(AH116+AI111&gt;$E97*$E93,"YES", "NO"), IF(AH116-(AI114-AI111)&lt;$E98*$E93,"YES","NO"))</f>
        <v>NO</v>
      </c>
      <c r="AJ123" s="48" t="str">
        <f>IF(AJ122="NO",IF(AI116+AJ111&gt;$E97*$E93,"YES", "NO"), IF(AI116-(AJ114-AJ111)&lt;$E98*$E93,"YES","NO"))</f>
        <v>NO</v>
      </c>
      <c r="AK123" s="48" t="str">
        <f t="shared" ref="AK123" si="2271">IF(AK122="NO",IF(AJ116+AK111&gt;$E97*$E93,"YES", "NO"), IF(AJ116-(AK114-AK111)&lt;$E98*$E93,"YES","NO"))</f>
        <v>NO</v>
      </c>
      <c r="AL123" s="1" t="s">
        <v>184</v>
      </c>
      <c r="AO123" s="48" t="str">
        <f t="shared" ref="AO123" si="2272">IF(AO122="NO",IF(AN116+AO111&gt;$E97*$E93,"YES", "NO"), IF(AN116-(AO114-AO111)&lt;$E98*$E93,"YES","NO"))</f>
        <v>NO</v>
      </c>
      <c r="AP123" s="48" t="str">
        <f t="shared" ref="AP123" si="2273">IF(AP122="NO",IF(AO116+AP111&gt;$E97*$E93,"YES", "NO"), IF(AO116-(AP114-AP111)&lt;$E98*$E93,"YES","NO"))</f>
        <v>NO</v>
      </c>
      <c r="AQ123" s="48" t="str">
        <f t="shared" ref="AQ123" si="2274">IF(AQ122="NO",IF(AP116+AQ111&gt;$E97*$E93,"YES", "NO"), IF(AP116-(AQ114-AQ111)&lt;$E98*$E93,"YES","NO"))</f>
        <v>NO</v>
      </c>
      <c r="AR123" s="48" t="str">
        <f t="shared" ref="AR123" si="2275">IF(AR122="NO",IF(AQ116+AR111&gt;$E97*$E93,"YES", "NO"), IF(AQ116-(AR114-AR111)&lt;$E98*$E93,"YES","NO"))</f>
        <v>NO</v>
      </c>
      <c r="AS123" s="48" t="str">
        <f t="shared" ref="AS123" si="2276">IF(AS122="NO",IF(AR116+AS111&gt;$E97*$E93,"YES", "NO"), IF(AR116-(AS114-AS111)&lt;$E98*$E93,"YES","NO"))</f>
        <v>NO</v>
      </c>
      <c r="AT123" s="48" t="str">
        <f t="shared" ref="AT123" si="2277">IF(AT122="NO",IF(AS116+AT111&gt;$E97*$E93,"YES", "NO"), IF(AS116-(AT114-AT111)&lt;$E98*$E93,"YES","NO"))</f>
        <v>NO</v>
      </c>
      <c r="AU123" s="48" t="str">
        <f t="shared" ref="AU123" si="2278">IF(AU122="NO",IF(AT116+AU111&gt;$E97*$E93,"YES", "NO"), IF(AT116-(AU114-AU111)&lt;$E98*$E93,"YES","NO"))</f>
        <v>NO</v>
      </c>
      <c r="AV123" s="48" t="str">
        <f t="shared" ref="AV123" si="2279">IF(AV122="NO",IF(AU116+AV111&gt;$E97*$E93,"YES", "NO"), IF(AU116-(AV114-AV111)&lt;$E98*$E93,"YES","NO"))</f>
        <v>NO</v>
      </c>
      <c r="AW123" s="48" t="str">
        <f t="shared" ref="AW123" si="2280">IF(AW122="NO",IF(AV116+AW111&gt;$E97*$E93,"YES", "NO"), IF(AV116-(AW114-AW111)&lt;$E98*$E93,"YES","NO"))</f>
        <v>NO</v>
      </c>
      <c r="AX123" s="48" t="str">
        <f t="shared" ref="AX123" si="2281">IF(AX122="NO",IF(AW116+AX111&gt;$E97*$E93,"YES", "NO"), IF(AW116-(AX114-AX111)&lt;$E98*$E93,"YES","NO"))</f>
        <v>NO</v>
      </c>
      <c r="AY123" s="48" t="str">
        <f t="shared" ref="AY123" si="2282">IF(AY122="NO",IF(AX116+AY111&gt;$E97*$E93,"YES", "NO"), IF(AX116-(AY114-AY111)&lt;$E98*$E93,"YES","NO"))</f>
        <v>NO</v>
      </c>
      <c r="AZ123" s="48" t="str">
        <f t="shared" ref="AZ123" si="2283">IF(AZ122="NO",IF(AY116+AZ111&gt;$E97*$E93,"YES", "NO"), IF(AY116-(AZ114-AZ111)&lt;$E98*$E93,"YES","NO"))</f>
        <v>NO</v>
      </c>
      <c r="BA123" s="48" t="str">
        <f t="shared" ref="BA123" si="2284">IF(BA122="NO",IF(AZ116+BA111&gt;$E97*$E93,"YES", "NO"), IF(AZ116-(BA114-BA111)&lt;$E98*$E93,"YES","NO"))</f>
        <v>NO</v>
      </c>
      <c r="BB123" s="48" t="str">
        <f t="shared" ref="BB123" si="2285">IF(BB122="NO",IF(BA116+BB111&gt;$E97*$E93,"YES", "NO"), IF(BA116-(BB114-BB111)&lt;$E98*$E93,"YES","NO"))</f>
        <v>NO</v>
      </c>
      <c r="BC123" s="48" t="str">
        <f t="shared" ref="BC123" si="2286">IF(BC122="NO",IF(BB116+BC111&gt;$E97*$E93,"YES", "NO"), IF(BB116-(BC114-BC111)&lt;$E98*$E93,"YES","NO"))</f>
        <v>NO</v>
      </c>
      <c r="BD123" s="48" t="str">
        <f t="shared" ref="BD123" si="2287">IF(BD122="NO",IF(BC116+BD111&gt;$E97*$E93,"YES", "NO"), IF(BC116-(BD114-BD111)&lt;$E98*$E93,"YES","NO"))</f>
        <v>NO</v>
      </c>
      <c r="BE123" s="48" t="str">
        <f t="shared" ref="BE123" si="2288">IF(BE122="NO",IF(BD116+BE111&gt;$E97*$E93,"YES", "NO"), IF(BD116-(BE114-BE111)&lt;$E98*$E93,"YES","NO"))</f>
        <v>NO</v>
      </c>
      <c r="BF123" s="48" t="str">
        <f t="shared" ref="BF123" si="2289">IF(BF122="NO",IF(BE116+BF111&gt;$E97*$E93,"YES", "NO"), IF(BE116-(BF114-BF111)&lt;$E98*$E93,"YES","NO"))</f>
        <v>NO</v>
      </c>
      <c r="BG123" s="48" t="str">
        <f t="shared" ref="BG123" si="2290">IF(BG122="NO",IF(BF116+BG111&gt;$E97*$E93,"YES", "NO"), IF(BF116-(BG114-BG111)&lt;$E98*$E93,"YES","NO"))</f>
        <v>NO</v>
      </c>
      <c r="BH123" s="48" t="str">
        <f t="shared" ref="BH123" si="2291">IF(BH122="NO",IF(BG116+BH111&gt;$E97*$E93,"YES", "NO"), IF(BG116-(BH114-BH111)&lt;$E98*$E93,"YES","NO"))</f>
        <v>NO</v>
      </c>
      <c r="BI123" s="48" t="str">
        <f t="shared" ref="BI123" si="2292">IF(BI122="NO",IF(BH116+BI111&gt;$E97*$E93,"YES", "NO"), IF(BH116-(BI114-BI111)&lt;$E98*$E93,"YES","NO"))</f>
        <v>NO</v>
      </c>
      <c r="BJ123" s="48" t="str">
        <f>IF(BJ122="NO",IF(BI116+BJ111&gt;$E97*$E93,"YES", "NO"), IF(BI116-(BJ114-BJ111)&lt;$E98*$E93,"YES","NO"))</f>
        <v>NO</v>
      </c>
      <c r="BK123" s="48" t="str">
        <f t="shared" ref="BK123" si="2293">IF(BK122="NO",IF(BJ116+BK111&gt;$E97*$E93,"YES", "NO"), IF(BJ116-(BK114-BK111)&lt;$E98*$E93,"YES","NO"))</f>
        <v>NO</v>
      </c>
      <c r="BL123" s="1" t="s">
        <v>184</v>
      </c>
      <c r="BO123" s="48" t="str">
        <f t="shared" ref="BO123" si="2294">IF(BO122="NO",IF(BN116+BO111&gt;$E97*$E93,"YES", "NO"), IF(BN116-(BO114-BO111)&lt;$E98*$E93,"YES","NO"))</f>
        <v>NO</v>
      </c>
      <c r="BP123" s="48" t="str">
        <f t="shared" ref="BP123" si="2295">IF(BP122="NO",IF(BO116+BP111&gt;$E97*$E93,"YES", "NO"), IF(BO116-(BP114-BP111)&lt;$E98*$E93,"YES","NO"))</f>
        <v>NO</v>
      </c>
      <c r="BQ123" s="48" t="str">
        <f t="shared" ref="BQ123" si="2296">IF(BQ122="NO",IF(BP116+BQ111&gt;$E97*$E93,"YES", "NO"), IF(BP116-(BQ114-BQ111)&lt;$E98*$E93,"YES","NO"))</f>
        <v>NO</v>
      </c>
      <c r="BR123" s="48" t="str">
        <f t="shared" ref="BR123" si="2297">IF(BR122="NO",IF(BQ116+BR111&gt;$E97*$E93,"YES", "NO"), IF(BQ116-(BR114-BR111)&lt;$E98*$E93,"YES","NO"))</f>
        <v>NO</v>
      </c>
      <c r="BS123" s="48" t="str">
        <f t="shared" ref="BS123" si="2298">IF(BS122="NO",IF(BR116+BS111&gt;$E97*$E93,"YES", "NO"), IF(BR116-(BS114-BS111)&lt;$E98*$E93,"YES","NO"))</f>
        <v>NO</v>
      </c>
      <c r="BT123" s="48" t="str">
        <f t="shared" ref="BT123" si="2299">IF(BT122="NO",IF(BS116+BT111&gt;$E97*$E93,"YES", "NO"), IF(BS116-(BT114-BT111)&lt;$E98*$E93,"YES","NO"))</f>
        <v>NO</v>
      </c>
      <c r="BU123" s="48" t="str">
        <f t="shared" ref="BU123" si="2300">IF(BU122="NO",IF(BT116+BU111&gt;$E97*$E93,"YES", "NO"), IF(BT116-(BU114-BU111)&lt;$E98*$E93,"YES","NO"))</f>
        <v>NO</v>
      </c>
      <c r="BV123" s="48" t="str">
        <f t="shared" ref="BV123" si="2301">IF(BV122="NO",IF(BU116+BV111&gt;$E97*$E93,"YES", "NO"), IF(BU116-(BV114-BV111)&lt;$E98*$E93,"YES","NO"))</f>
        <v>NO</v>
      </c>
      <c r="BW123" s="48" t="str">
        <f t="shared" ref="BW123" si="2302">IF(BW122="NO",IF(BV116+BW111&gt;$E97*$E93,"YES", "NO"), IF(BV116-(BW114-BW111)&lt;$E98*$E93,"YES","NO"))</f>
        <v>NO</v>
      </c>
      <c r="BX123" s="48" t="str">
        <f t="shared" ref="BX123" si="2303">IF(BX122="NO",IF(BW116+BX111&gt;$E97*$E93,"YES", "NO"), IF(BW116-(BX114-BX111)&lt;$E98*$E93,"YES","NO"))</f>
        <v>NO</v>
      </c>
      <c r="BY123" s="48" t="str">
        <f t="shared" ref="BY123" si="2304">IF(BY122="NO",IF(BX116+BY111&gt;$E97*$E93,"YES", "NO"), IF(BX116-(BY114-BY111)&lt;$E98*$E93,"YES","NO"))</f>
        <v>NO</v>
      </c>
      <c r="BZ123" s="48" t="str">
        <f t="shared" ref="BZ123" si="2305">IF(BZ122="NO",IF(BY116+BZ111&gt;$E97*$E93,"YES", "NO"), IF(BY116-(BZ114-BZ111)&lt;$E98*$E93,"YES","NO"))</f>
        <v>NO</v>
      </c>
      <c r="CA123" s="48" t="str">
        <f t="shared" ref="CA123" si="2306">IF(CA122="NO",IF(BZ116+CA111&gt;$E97*$E93,"YES", "NO"), IF(BZ116-(CA114-CA111)&lt;$E98*$E93,"YES","NO"))</f>
        <v>NO</v>
      </c>
      <c r="CB123" s="48" t="str">
        <f t="shared" ref="CB123" si="2307">IF(CB122="NO",IF(CA116+CB111&gt;$E97*$E93,"YES", "NO"), IF(CA116-(CB114-CB111)&lt;$E98*$E93,"YES","NO"))</f>
        <v>NO</v>
      </c>
      <c r="CC123" s="48" t="str">
        <f t="shared" ref="CC123" si="2308">IF(CC122="NO",IF(CB116+CC111&gt;$E97*$E93,"YES", "NO"), IF(CB116-(CC114-CC111)&lt;$E98*$E93,"YES","NO"))</f>
        <v>NO</v>
      </c>
      <c r="CD123" s="48" t="str">
        <f t="shared" ref="CD123" si="2309">IF(CD122="NO",IF(CC116+CD111&gt;$E97*$E93,"YES", "NO"), IF(CC116-(CD114-CD111)&lt;$E98*$E93,"YES","NO"))</f>
        <v>NO</v>
      </c>
      <c r="CE123" s="48" t="str">
        <f t="shared" ref="CE123" si="2310">IF(CE122="NO",IF(CD116+CE111&gt;$E97*$E93,"YES", "NO"), IF(CD116-(CE114-CE111)&lt;$E98*$E93,"YES","NO"))</f>
        <v>NO</v>
      </c>
      <c r="CF123" s="48" t="str">
        <f t="shared" ref="CF123" si="2311">IF(CF122="NO",IF(CE116+CF111&gt;$E97*$E93,"YES", "NO"), IF(CE116-(CF114-CF111)&lt;$E98*$E93,"YES","NO"))</f>
        <v>NO</v>
      </c>
      <c r="CG123" s="48" t="str">
        <f t="shared" ref="CG123" si="2312">IF(CG122="NO",IF(CF116+CG111&gt;$E97*$E93,"YES", "NO"), IF(CF116-(CG114-CG111)&lt;$E98*$E93,"YES","NO"))</f>
        <v>NO</v>
      </c>
      <c r="CH123" s="48" t="str">
        <f t="shared" ref="CH123" si="2313">IF(CH122="NO",IF(CG116+CH111&gt;$E97*$E93,"YES", "NO"), IF(CG116-(CH114-CH111)&lt;$E98*$E93,"YES","NO"))</f>
        <v>NO</v>
      </c>
      <c r="CI123" s="48" t="str">
        <f t="shared" ref="CI123" si="2314">IF(CI122="NO",IF(CH116+CI111&gt;$E97*$E93,"YES", "NO"), IF(CH116-(CI114-CI111)&lt;$E98*$E93,"YES","NO"))</f>
        <v>NO</v>
      </c>
      <c r="CJ123" s="48" t="str">
        <f>IF(CJ122="NO",IF(CI116+CJ111&gt;$E97*$E93,"YES", "NO"), IF(CI116-(CJ114-CJ111)&lt;$E98*$E93,"YES","NO"))</f>
        <v>NO</v>
      </c>
      <c r="CK123" s="48" t="str">
        <f t="shared" ref="CK123" si="2315">IF(CK122="NO",IF(CJ116+CK111&gt;$E97*$E93,"YES", "NO"), IF(CJ116-(CK114-CK111)&lt;$E98*$E93,"YES","NO"))</f>
        <v>NO</v>
      </c>
      <c r="CL123" s="1" t="s">
        <v>184</v>
      </c>
      <c r="CO123" s="48" t="str">
        <f t="shared" ref="CO123" si="2316">IF(CO122="NO",IF(CN116+CO111&gt;$E97*$E93,"YES", "NO"), IF(CN116-(CO114-CO111)&lt;$E98*$E93,"YES","NO"))</f>
        <v>NO</v>
      </c>
      <c r="CP123" s="48" t="str">
        <f t="shared" ref="CP123" si="2317">IF(CP122="NO",IF(CO116+CP111&gt;$E97*$E93,"YES", "NO"), IF(CO116-(CP114-CP111)&lt;$E98*$E93,"YES","NO"))</f>
        <v>NO</v>
      </c>
      <c r="CQ123" s="48" t="str">
        <f t="shared" ref="CQ123" si="2318">IF(CQ122="NO",IF(CP116+CQ111&gt;$E97*$E93,"YES", "NO"), IF(CP116-(CQ114-CQ111)&lt;$E98*$E93,"YES","NO"))</f>
        <v>NO</v>
      </c>
      <c r="CR123" s="48" t="str">
        <f t="shared" ref="CR123" si="2319">IF(CR122="NO",IF(CQ116+CR111&gt;$E97*$E93,"YES", "NO"), IF(CQ116-(CR114-CR111)&lt;$E98*$E93,"YES","NO"))</f>
        <v>NO</v>
      </c>
      <c r="CS123" s="48" t="str">
        <f t="shared" ref="CS123" si="2320">IF(CS122="NO",IF(CR116+CS111&gt;$E97*$E93,"YES", "NO"), IF(CR116-(CS114-CS111)&lt;$E98*$E93,"YES","NO"))</f>
        <v>NO</v>
      </c>
      <c r="CT123" s="48" t="str">
        <f t="shared" ref="CT123" si="2321">IF(CT122="NO",IF(CS116+CT111&gt;$E97*$E93,"YES", "NO"), IF(CS116-(CT114-CT111)&lt;$E98*$E93,"YES","NO"))</f>
        <v>NO</v>
      </c>
      <c r="CU123" s="48" t="str">
        <f t="shared" ref="CU123" si="2322">IF(CU122="NO",IF(CT116+CU111&gt;$E97*$E93,"YES", "NO"), IF(CT116-(CU114-CU111)&lt;$E98*$E93,"YES","NO"))</f>
        <v>NO</v>
      </c>
      <c r="CV123" s="48" t="str">
        <f t="shared" ref="CV123" si="2323">IF(CV122="NO",IF(CU116+CV111&gt;$E97*$E93,"YES", "NO"), IF(CU116-(CV114-CV111)&lt;$E98*$E93,"YES","NO"))</f>
        <v>NO</v>
      </c>
      <c r="CW123" s="48" t="str">
        <f t="shared" ref="CW123" si="2324">IF(CW122="NO",IF(CV116+CW111&gt;$E97*$E93,"YES", "NO"), IF(CV116-(CW114-CW111)&lt;$E98*$E93,"YES","NO"))</f>
        <v>NO</v>
      </c>
      <c r="CX123" s="48" t="str">
        <f t="shared" ref="CX123" si="2325">IF(CX122="NO",IF(CW116+CX111&gt;$E97*$E93,"YES", "NO"), IF(CW116-(CX114-CX111)&lt;$E98*$E93,"YES","NO"))</f>
        <v>NO</v>
      </c>
      <c r="CY123" s="48" t="str">
        <f t="shared" ref="CY123" si="2326">IF(CY122="NO",IF(CX116+CY111&gt;$E97*$E93,"YES", "NO"), IF(CX116-(CY114-CY111)&lt;$E98*$E93,"YES","NO"))</f>
        <v>NO</v>
      </c>
      <c r="CZ123" s="48" t="str">
        <f t="shared" ref="CZ123" si="2327">IF(CZ122="NO",IF(CY116+CZ111&gt;$E97*$E93,"YES", "NO"), IF(CY116-(CZ114-CZ111)&lt;$E98*$E93,"YES","NO"))</f>
        <v>NO</v>
      </c>
      <c r="DA123" s="48" t="str">
        <f t="shared" ref="DA123" si="2328">IF(DA122="NO",IF(CZ116+DA111&gt;$E97*$E93,"YES", "NO"), IF(CZ116-(DA114-DA111)&lt;$E98*$E93,"YES","NO"))</f>
        <v>NO</v>
      </c>
      <c r="DB123" s="48" t="str">
        <f t="shared" ref="DB123" si="2329">IF(DB122="NO",IF(DA116+DB111&gt;$E97*$E93,"YES", "NO"), IF(DA116-(DB114-DB111)&lt;$E98*$E93,"YES","NO"))</f>
        <v>NO</v>
      </c>
      <c r="DC123" s="48" t="str">
        <f t="shared" ref="DC123" si="2330">IF(DC122="NO",IF(DB116+DC111&gt;$E97*$E93,"YES", "NO"), IF(DB116-(DC114-DC111)&lt;$E98*$E93,"YES","NO"))</f>
        <v>NO</v>
      </c>
      <c r="DD123" s="48" t="str">
        <f t="shared" ref="DD123" si="2331">IF(DD122="NO",IF(DC116+DD111&gt;$E97*$E93,"YES", "NO"), IF(DC116-(DD114-DD111)&lt;$E98*$E93,"YES","NO"))</f>
        <v>NO</v>
      </c>
      <c r="DE123" s="48" t="str">
        <f t="shared" ref="DE123" si="2332">IF(DE122="NO",IF(DD116+DE111&gt;$E97*$E93,"YES", "NO"), IF(DD116-(DE114-DE111)&lt;$E98*$E93,"YES","NO"))</f>
        <v>NO</v>
      </c>
      <c r="DF123" s="48" t="str">
        <f t="shared" ref="DF123" si="2333">IF(DF122="NO",IF(DE116+DF111&gt;$E97*$E93,"YES", "NO"), IF(DE116-(DF114-DF111)&lt;$E98*$E93,"YES","NO"))</f>
        <v>NO</v>
      </c>
      <c r="DG123" s="48" t="str">
        <f t="shared" ref="DG123" si="2334">IF(DG122="NO",IF(DF116+DG111&gt;$E97*$E93,"YES", "NO"), IF(DF116-(DG114-DG111)&lt;$E98*$E93,"YES","NO"))</f>
        <v>NO</v>
      </c>
      <c r="DH123" s="48" t="str">
        <f t="shared" ref="DH123" si="2335">IF(DH122="NO",IF(DG116+DH111&gt;$E97*$E93,"YES", "NO"), IF(DG116-(DH114-DH111)&lt;$E98*$E93,"YES","NO"))</f>
        <v>NO</v>
      </c>
      <c r="DI123" s="48" t="str">
        <f t="shared" ref="DI123" si="2336">IF(DI122="NO",IF(DH116+DI111&gt;$E97*$E93,"YES", "NO"), IF(DH116-(DI114-DI111)&lt;$E98*$E93,"YES","NO"))</f>
        <v>NO</v>
      </c>
      <c r="DJ123" s="48" t="str">
        <f>IF(DJ122="NO",IF(DI116+DJ111&gt;$E97*$E93,"YES", "NO"), IF(DI116-(DJ114-DJ111)&lt;$E98*$E93,"YES","NO"))</f>
        <v>NO</v>
      </c>
      <c r="DK123" s="48" t="str">
        <f t="shared" ref="DK123" si="2337">IF(DK122="NO",IF(DJ116+DK111&gt;$E97*$E93,"YES", "NO"), IF(DJ116-(DK114-DK111)&lt;$E98*$E93,"YES","NO"))</f>
        <v>NO</v>
      </c>
      <c r="DL123" s="1" t="s">
        <v>184</v>
      </c>
      <c r="DO123" s="48" t="str">
        <f t="shared" ref="DO123" si="2338">IF(DO122="NO",IF(DN116+DO111&gt;$E97*$E93,"YES", "NO"), IF(DN116-(DO114-DO111)&lt;$E98*$E93,"YES","NO"))</f>
        <v>NO</v>
      </c>
      <c r="DP123" s="48" t="str">
        <f t="shared" ref="DP123" si="2339">IF(DP122="NO",IF(DO116+DP111&gt;$E97*$E93,"YES", "NO"), IF(DO116-(DP114-DP111)&lt;$E98*$E93,"YES","NO"))</f>
        <v>NO</v>
      </c>
      <c r="DQ123" s="48" t="str">
        <f t="shared" ref="DQ123" si="2340">IF(DQ122="NO",IF(DP116+DQ111&gt;$E97*$E93,"YES", "NO"), IF(DP116-(DQ114-DQ111)&lt;$E98*$E93,"YES","NO"))</f>
        <v>NO</v>
      </c>
      <c r="DR123" s="48" t="str">
        <f t="shared" ref="DR123" si="2341">IF(DR122="NO",IF(DQ116+DR111&gt;$E97*$E93,"YES", "NO"), IF(DQ116-(DR114-DR111)&lt;$E98*$E93,"YES","NO"))</f>
        <v>NO</v>
      </c>
      <c r="DS123" s="48" t="str">
        <f t="shared" ref="DS123" si="2342">IF(DS122="NO",IF(DR116+DS111&gt;$E97*$E93,"YES", "NO"), IF(DR116-(DS114-DS111)&lt;$E98*$E93,"YES","NO"))</f>
        <v>NO</v>
      </c>
      <c r="DT123" s="48" t="str">
        <f t="shared" ref="DT123" si="2343">IF(DT122="NO",IF(DS116+DT111&gt;$E97*$E93,"YES", "NO"), IF(DS116-(DT114-DT111)&lt;$E98*$E93,"YES","NO"))</f>
        <v>NO</v>
      </c>
      <c r="DU123" s="48" t="str">
        <f t="shared" ref="DU123" si="2344">IF(DU122="NO",IF(DT116+DU111&gt;$E97*$E93,"YES", "NO"), IF(DT116-(DU114-DU111)&lt;$E98*$E93,"YES","NO"))</f>
        <v>NO</v>
      </c>
      <c r="DV123" s="48" t="str">
        <f t="shared" ref="DV123" si="2345">IF(DV122="NO",IF(DU116+DV111&gt;$E97*$E93,"YES", "NO"), IF(DU116-(DV114-DV111)&lt;$E98*$E93,"YES","NO"))</f>
        <v>NO</v>
      </c>
      <c r="DW123" s="48" t="str">
        <f t="shared" ref="DW123" si="2346">IF(DW122="NO",IF(DV116+DW111&gt;$E97*$E93,"YES", "NO"), IF(DV116-(DW114-DW111)&lt;$E98*$E93,"YES","NO"))</f>
        <v>NO</v>
      </c>
      <c r="DX123" s="48" t="str">
        <f t="shared" ref="DX123" si="2347">IF(DX122="NO",IF(DW116+DX111&gt;$E97*$E93,"YES", "NO"), IF(DW116-(DX114-DX111)&lt;$E98*$E93,"YES","NO"))</f>
        <v>NO</v>
      </c>
      <c r="DY123" s="48" t="str">
        <f t="shared" ref="DY123" si="2348">IF(DY122="NO",IF(DX116+DY111&gt;$E97*$E93,"YES", "NO"), IF(DX116-(DY114-DY111)&lt;$E98*$E93,"YES","NO"))</f>
        <v>NO</v>
      </c>
      <c r="DZ123" s="48" t="str">
        <f t="shared" ref="DZ123" si="2349">IF(DZ122="NO",IF(DY116+DZ111&gt;$E97*$E93,"YES", "NO"), IF(DY116-(DZ114-DZ111)&lt;$E98*$E93,"YES","NO"))</f>
        <v>NO</v>
      </c>
      <c r="EA123" s="48" t="str">
        <f t="shared" ref="EA123" si="2350">IF(EA122="NO",IF(DZ116+EA111&gt;$E97*$E93,"YES", "NO"), IF(DZ116-(EA114-EA111)&lt;$E98*$E93,"YES","NO"))</f>
        <v>NO</v>
      </c>
      <c r="EB123" s="48" t="str">
        <f t="shared" ref="EB123" si="2351">IF(EB122="NO",IF(EA116+EB111&gt;$E97*$E93,"YES", "NO"), IF(EA116-(EB114-EB111)&lt;$E98*$E93,"YES","NO"))</f>
        <v>NO</v>
      </c>
      <c r="EC123" s="48" t="str">
        <f t="shared" ref="EC123" si="2352">IF(EC122="NO",IF(EB116+EC111&gt;$E97*$E93,"YES", "NO"), IF(EB116-(EC114-EC111)&lt;$E98*$E93,"YES","NO"))</f>
        <v>NO</v>
      </c>
      <c r="ED123" s="48" t="str">
        <f t="shared" ref="ED123" si="2353">IF(ED122="NO",IF(EC116+ED111&gt;$E97*$E93,"YES", "NO"), IF(EC116-(ED114-ED111)&lt;$E98*$E93,"YES","NO"))</f>
        <v>NO</v>
      </c>
      <c r="EE123" s="48" t="str">
        <f t="shared" ref="EE123" si="2354">IF(EE122="NO",IF(ED116+EE111&gt;$E97*$E93,"YES", "NO"), IF(ED116-(EE114-EE111)&lt;$E98*$E93,"YES","NO"))</f>
        <v>NO</v>
      </c>
      <c r="EF123" s="48" t="str">
        <f t="shared" ref="EF123" si="2355">IF(EF122="NO",IF(EE116+EF111&gt;$E97*$E93,"YES", "NO"), IF(EE116-(EF114-EF111)&lt;$E98*$E93,"YES","NO"))</f>
        <v>NO</v>
      </c>
      <c r="EG123" s="48" t="str">
        <f t="shared" ref="EG123" si="2356">IF(EG122="NO",IF(EF116+EG111&gt;$E97*$E93,"YES", "NO"), IF(EF116-(EG114-EG111)&lt;$E98*$E93,"YES","NO"))</f>
        <v>NO</v>
      </c>
      <c r="EH123" s="48" t="str">
        <f t="shared" ref="EH123" si="2357">IF(EH122="NO",IF(EG116+EH111&gt;$E97*$E93,"YES", "NO"), IF(EG116-(EH114-EH111)&lt;$E98*$E93,"YES","NO"))</f>
        <v>NO</v>
      </c>
      <c r="EI123" s="48" t="str">
        <f t="shared" ref="EI123" si="2358">IF(EI122="NO",IF(EH116+EI111&gt;$E97*$E93,"YES", "NO"), IF(EH116-(EI114-EI111)&lt;$E98*$E93,"YES","NO"))</f>
        <v>NO</v>
      </c>
      <c r="EJ123" s="48" t="str">
        <f>IF(EJ122="NO",IF(EI116+EJ111&gt;$E97*$E93,"YES", "NO"), IF(EI116-(EJ114-EJ111)&lt;$E98*$E93,"YES","NO"))</f>
        <v>NO</v>
      </c>
      <c r="EK123" s="48" t="str">
        <f t="shared" ref="EK123" si="2359">IF(EK122="NO",IF(EJ116+EK111&gt;$E97*$E93,"YES", "NO"), IF(EJ116-(EK114-EK111)&lt;$E98*$E93,"YES","NO"))</f>
        <v>NO</v>
      </c>
      <c r="EL123" s="1" t="s">
        <v>184</v>
      </c>
      <c r="EO123" s="48" t="str">
        <f t="shared" ref="EO123" si="2360">IF(EO122="NO",IF(EN116+EO111&gt;$E97*$E93,"YES", "NO"), IF(EN116-(EO114-EO111)&lt;$E98*$E93,"YES","NO"))</f>
        <v>YES</v>
      </c>
      <c r="EP123" s="48" t="str">
        <f t="shared" ref="EP123" si="2361">IF(EP122="NO",IF(EO116+EP111&gt;$E97*$E93,"YES", "NO"), IF(EO116-(EP114-EP111)&lt;$E98*$E93,"YES","NO"))</f>
        <v>NO</v>
      </c>
      <c r="EQ123" s="48" t="str">
        <f t="shared" ref="EQ123" si="2362">IF(EQ122="NO",IF(EP116+EQ111&gt;$E97*$E93,"YES", "NO"), IF(EP116-(EQ114-EQ111)&lt;$E98*$E93,"YES","NO"))</f>
        <v>NO</v>
      </c>
      <c r="ER123" s="48" t="str">
        <f t="shared" ref="ER123" si="2363">IF(ER122="NO",IF(EQ116+ER111&gt;$E97*$E93,"YES", "NO"), IF(EQ116-(ER114-ER111)&lt;$E98*$E93,"YES","NO"))</f>
        <v>NO</v>
      </c>
      <c r="ES123" s="48" t="str">
        <f t="shared" ref="ES123" si="2364">IF(ES122="NO",IF(ER116+ES111&gt;$E97*$E93,"YES", "NO"), IF(ER116-(ES114-ES111)&lt;$E98*$E93,"YES","NO"))</f>
        <v>NO</v>
      </c>
      <c r="ET123" s="48" t="str">
        <f t="shared" ref="ET123" si="2365">IF(ET122="NO",IF(ES116+ET111&gt;$E97*$E93,"YES", "NO"), IF(ES116-(ET114-ET111)&lt;$E98*$E93,"YES","NO"))</f>
        <v>NO</v>
      </c>
      <c r="EU123" s="48" t="str">
        <f t="shared" ref="EU123" si="2366">IF(EU122="NO",IF(ET116+EU111&gt;$E97*$E93,"YES", "NO"), IF(ET116-(EU114-EU111)&lt;$E98*$E93,"YES","NO"))</f>
        <v>NO</v>
      </c>
      <c r="EV123" s="48" t="str">
        <f t="shared" ref="EV123" si="2367">IF(EV122="NO",IF(EU116+EV111&gt;$E97*$E93,"YES", "NO"), IF(EU116-(EV114-EV111)&lt;$E98*$E93,"YES","NO"))</f>
        <v>YES</v>
      </c>
      <c r="EW123" s="48" t="str">
        <f t="shared" ref="EW123" si="2368">IF(EW122="NO",IF(EV116+EW111&gt;$E97*$E93,"YES", "NO"), IF(EV116-(EW114-EW111)&lt;$E98*$E93,"YES","NO"))</f>
        <v>NO</v>
      </c>
      <c r="EX123" s="48" t="str">
        <f t="shared" ref="EX123" si="2369">IF(EX122="NO",IF(EW116+EX111&gt;$E97*$E93,"YES", "NO"), IF(EW116-(EX114-EX111)&lt;$E98*$E93,"YES","NO"))</f>
        <v>NO</v>
      </c>
      <c r="EY123" s="48" t="str">
        <f t="shared" ref="EY123" si="2370">IF(EY122="NO",IF(EX116+EY111&gt;$E97*$E93,"YES", "NO"), IF(EX116-(EY114-EY111)&lt;$E98*$E93,"YES","NO"))</f>
        <v>NO</v>
      </c>
      <c r="EZ123" s="48" t="str">
        <f t="shared" ref="EZ123" si="2371">IF(EZ122="NO",IF(EY116+EZ111&gt;$E97*$E93,"YES", "NO"), IF(EY116-(EZ114-EZ111)&lt;$E98*$E93,"YES","NO"))</f>
        <v>NO</v>
      </c>
      <c r="FA123" s="48" t="str">
        <f t="shared" ref="FA123" si="2372">IF(FA122="NO",IF(EZ116+FA111&gt;$E97*$E93,"YES", "NO"), IF(EZ116-(FA114-FA111)&lt;$E98*$E93,"YES","NO"))</f>
        <v>NO</v>
      </c>
      <c r="FB123" s="48" t="str">
        <f t="shared" ref="FB123" si="2373">IF(FB122="NO",IF(FA116+FB111&gt;$E97*$E93,"YES", "NO"), IF(FA116-(FB114-FB111)&lt;$E98*$E93,"YES","NO"))</f>
        <v>NO</v>
      </c>
      <c r="FC123" s="48" t="str">
        <f t="shared" ref="FC123" si="2374">IF(FC122="NO",IF(FB116+FC111&gt;$E97*$E93,"YES", "NO"), IF(FB116-(FC114-FC111)&lt;$E98*$E93,"YES","NO"))</f>
        <v>NO</v>
      </c>
      <c r="FD123" s="48" t="str">
        <f t="shared" ref="FD123" si="2375">IF(FD122="NO",IF(FC116+FD111&gt;$E97*$E93,"YES", "NO"), IF(FC116-(FD114-FD111)&lt;$E98*$E93,"YES","NO"))</f>
        <v>NO</v>
      </c>
      <c r="FE123" s="48" t="str">
        <f t="shared" ref="FE123" si="2376">IF(FE122="NO",IF(FD116+FE111&gt;$E97*$E93,"YES", "NO"), IF(FD116-(FE114-FE111)&lt;$E98*$E93,"YES","NO"))</f>
        <v>YES</v>
      </c>
      <c r="FF123" s="48" t="str">
        <f t="shared" ref="FF123" si="2377">IF(FF122="NO",IF(FE116+FF111&gt;$E97*$E93,"YES", "NO"), IF(FE116-(FF114-FF111)&lt;$E98*$E93,"YES","NO"))</f>
        <v>NO</v>
      </c>
      <c r="FG123" s="48" t="str">
        <f t="shared" ref="FG123" si="2378">IF(FG122="NO",IF(FF116+FG111&gt;$E97*$E93,"YES", "NO"), IF(FF116-(FG114-FG111)&lt;$E98*$E93,"YES","NO"))</f>
        <v>NO</v>
      </c>
      <c r="FH123" s="48" t="str">
        <f t="shared" ref="FH123" si="2379">IF(FH122="NO",IF(FG116+FH111&gt;$E97*$E93,"YES", "NO"), IF(FG116-(FH114-FH111)&lt;$E98*$E93,"YES","NO"))</f>
        <v>NO</v>
      </c>
      <c r="FI123" s="48" t="str">
        <f t="shared" ref="FI123" si="2380">IF(FI122="NO",IF(FH116+FI111&gt;$E97*$E93,"YES", "NO"), IF(FH116-(FI114-FI111)&lt;$E98*$E93,"YES","NO"))</f>
        <v>NO</v>
      </c>
      <c r="FJ123" s="48" t="str">
        <f>IF(FJ122="NO",IF(FI116+FJ111&gt;$E97*$E93,"YES", "NO"), IF(FI116-(FJ114-FJ111)&lt;$E98*$E93,"YES","NO"))</f>
        <v>NO</v>
      </c>
      <c r="FK123" s="48" t="str">
        <f t="shared" ref="FK123" si="2381">IF(FK122="NO",IF(FJ116+FK111&gt;$E97*$E93,"YES", "NO"), IF(FJ116-(FK114-FK111)&lt;$E98*$E93,"YES","NO"))</f>
        <v>NO</v>
      </c>
    </row>
    <row r="124" spans="2:167" x14ac:dyDescent="0.25">
      <c r="B124" s="39"/>
      <c r="C124" s="19"/>
      <c r="D124" s="19"/>
      <c r="E124" s="19"/>
      <c r="F124" s="19"/>
      <c r="G124" s="19"/>
      <c r="H124" s="19"/>
      <c r="I124" s="19"/>
      <c r="J124" s="40"/>
      <c r="L124" s="1" t="s">
        <v>188</v>
      </c>
      <c r="O124" s="48" t="str">
        <f>IF(O122="YES",IF(O121="Charge","YES","NO"),"NO")</f>
        <v>NO</v>
      </c>
      <c r="P124" s="48" t="str">
        <f t="shared" ref="P124:AK124" si="2382">IF(P122="YES",IF(P121="Charge","YES","NO"),"NO")</f>
        <v>NO</v>
      </c>
      <c r="Q124" s="48" t="str">
        <f t="shared" si="2382"/>
        <v>NO</v>
      </c>
      <c r="R124" s="48" t="str">
        <f t="shared" si="2382"/>
        <v>NO</v>
      </c>
      <c r="S124" s="48" t="str">
        <f t="shared" si="2382"/>
        <v>NO</v>
      </c>
      <c r="T124" s="48" t="str">
        <f t="shared" si="2382"/>
        <v>NO</v>
      </c>
      <c r="U124" s="48" t="str">
        <f t="shared" si="2382"/>
        <v>NO</v>
      </c>
      <c r="V124" s="48" t="str">
        <f t="shared" si="2382"/>
        <v>NO</v>
      </c>
      <c r="W124" s="48" t="str">
        <f t="shared" si="2382"/>
        <v>NO</v>
      </c>
      <c r="X124" s="48" t="str">
        <f t="shared" si="2382"/>
        <v>NO</v>
      </c>
      <c r="Y124" s="48" t="str">
        <f t="shared" si="2382"/>
        <v>NO</v>
      </c>
      <c r="Z124" s="48" t="str">
        <f t="shared" si="2382"/>
        <v>NO</v>
      </c>
      <c r="AA124" s="48" t="str">
        <f t="shared" si="2382"/>
        <v>NO</v>
      </c>
      <c r="AB124" s="48" t="str">
        <f t="shared" si="2382"/>
        <v>NO</v>
      </c>
      <c r="AC124" s="48" t="str">
        <f t="shared" si="2382"/>
        <v>NO</v>
      </c>
      <c r="AD124" s="48" t="str">
        <f t="shared" si="2382"/>
        <v>NO</v>
      </c>
      <c r="AE124" s="48" t="str">
        <f t="shared" si="2382"/>
        <v>NO</v>
      </c>
      <c r="AF124" s="48" t="str">
        <f t="shared" si="2382"/>
        <v>NO</v>
      </c>
      <c r="AG124" s="48" t="str">
        <f t="shared" si="2382"/>
        <v>NO</v>
      </c>
      <c r="AH124" s="48" t="str">
        <f t="shared" si="2382"/>
        <v>NO</v>
      </c>
      <c r="AI124" s="48" t="str">
        <f t="shared" si="2382"/>
        <v>NO</v>
      </c>
      <c r="AJ124" s="48" t="str">
        <f t="shared" si="2382"/>
        <v>NO</v>
      </c>
      <c r="AK124" s="48" t="str">
        <f t="shared" si="2382"/>
        <v>NO</v>
      </c>
      <c r="AL124" s="1" t="s">
        <v>188</v>
      </c>
      <c r="AO124" s="48" t="str">
        <f>IF(AO122="YES",IF(AO121="Charge","YES","NO"),"NO")</f>
        <v>NO</v>
      </c>
      <c r="AP124" s="48" t="str">
        <f t="shared" ref="AP124:BK124" si="2383">IF(AP122="YES",IF(AP121="Charge","YES","NO"),"NO")</f>
        <v>NO</v>
      </c>
      <c r="AQ124" s="48" t="str">
        <f t="shared" si="2383"/>
        <v>NO</v>
      </c>
      <c r="AR124" s="48" t="str">
        <f t="shared" si="2383"/>
        <v>NO</v>
      </c>
      <c r="AS124" s="48" t="str">
        <f t="shared" si="2383"/>
        <v>NO</v>
      </c>
      <c r="AT124" s="48" t="str">
        <f t="shared" si="2383"/>
        <v>NO</v>
      </c>
      <c r="AU124" s="48" t="str">
        <f t="shared" si="2383"/>
        <v>NO</v>
      </c>
      <c r="AV124" s="48" t="str">
        <f t="shared" si="2383"/>
        <v>NO</v>
      </c>
      <c r="AW124" s="48" t="str">
        <f t="shared" si="2383"/>
        <v>NO</v>
      </c>
      <c r="AX124" s="48" t="str">
        <f t="shared" si="2383"/>
        <v>NO</v>
      </c>
      <c r="AY124" s="48" t="str">
        <f t="shared" si="2383"/>
        <v>NO</v>
      </c>
      <c r="AZ124" s="48" t="str">
        <f t="shared" si="2383"/>
        <v>NO</v>
      </c>
      <c r="BA124" s="48" t="str">
        <f t="shared" si="2383"/>
        <v>NO</v>
      </c>
      <c r="BB124" s="48" t="str">
        <f t="shared" si="2383"/>
        <v>NO</v>
      </c>
      <c r="BC124" s="48" t="str">
        <f t="shared" si="2383"/>
        <v>NO</v>
      </c>
      <c r="BD124" s="48" t="str">
        <f t="shared" si="2383"/>
        <v>NO</v>
      </c>
      <c r="BE124" s="48" t="str">
        <f t="shared" si="2383"/>
        <v>NO</v>
      </c>
      <c r="BF124" s="48" t="str">
        <f t="shared" si="2383"/>
        <v>NO</v>
      </c>
      <c r="BG124" s="48" t="str">
        <f t="shared" si="2383"/>
        <v>NO</v>
      </c>
      <c r="BH124" s="48" t="str">
        <f t="shared" si="2383"/>
        <v>NO</v>
      </c>
      <c r="BI124" s="48" t="str">
        <f t="shared" si="2383"/>
        <v>NO</v>
      </c>
      <c r="BJ124" s="48" t="str">
        <f t="shared" si="2383"/>
        <v>NO</v>
      </c>
      <c r="BK124" s="48" t="str">
        <f t="shared" si="2383"/>
        <v>NO</v>
      </c>
      <c r="BL124" s="1" t="s">
        <v>188</v>
      </c>
      <c r="BO124" s="48" t="str">
        <f>IF(BO122="YES",IF(BO121="Charge","YES","NO"),"NO")</f>
        <v>NO</v>
      </c>
      <c r="BP124" s="48" t="str">
        <f t="shared" ref="BP124:CK124" si="2384">IF(BP122="YES",IF(BP121="Charge","YES","NO"),"NO")</f>
        <v>NO</v>
      </c>
      <c r="BQ124" s="48" t="str">
        <f t="shared" si="2384"/>
        <v>NO</v>
      </c>
      <c r="BR124" s="48" t="str">
        <f t="shared" si="2384"/>
        <v>NO</v>
      </c>
      <c r="BS124" s="48" t="str">
        <f t="shared" si="2384"/>
        <v>NO</v>
      </c>
      <c r="BT124" s="48" t="str">
        <f t="shared" si="2384"/>
        <v>NO</v>
      </c>
      <c r="BU124" s="48" t="str">
        <f t="shared" si="2384"/>
        <v>NO</v>
      </c>
      <c r="BV124" s="48" t="str">
        <f t="shared" si="2384"/>
        <v>NO</v>
      </c>
      <c r="BW124" s="48" t="str">
        <f t="shared" si="2384"/>
        <v>NO</v>
      </c>
      <c r="BX124" s="48" t="str">
        <f t="shared" si="2384"/>
        <v>NO</v>
      </c>
      <c r="BY124" s="48" t="str">
        <f t="shared" si="2384"/>
        <v>NO</v>
      </c>
      <c r="BZ124" s="48" t="str">
        <f t="shared" si="2384"/>
        <v>NO</v>
      </c>
      <c r="CA124" s="48" t="str">
        <f t="shared" si="2384"/>
        <v>NO</v>
      </c>
      <c r="CB124" s="48" t="str">
        <f t="shared" si="2384"/>
        <v>NO</v>
      </c>
      <c r="CC124" s="48" t="str">
        <f t="shared" si="2384"/>
        <v>NO</v>
      </c>
      <c r="CD124" s="48" t="str">
        <f t="shared" si="2384"/>
        <v>NO</v>
      </c>
      <c r="CE124" s="48" t="str">
        <f t="shared" si="2384"/>
        <v>NO</v>
      </c>
      <c r="CF124" s="48" t="str">
        <f t="shared" si="2384"/>
        <v>NO</v>
      </c>
      <c r="CG124" s="48" t="str">
        <f t="shared" si="2384"/>
        <v>NO</v>
      </c>
      <c r="CH124" s="48" t="str">
        <f t="shared" si="2384"/>
        <v>NO</v>
      </c>
      <c r="CI124" s="48" t="str">
        <f t="shared" si="2384"/>
        <v>NO</v>
      </c>
      <c r="CJ124" s="48" t="str">
        <f t="shared" si="2384"/>
        <v>NO</v>
      </c>
      <c r="CK124" s="48" t="str">
        <f t="shared" si="2384"/>
        <v>NO</v>
      </c>
      <c r="CL124" s="1" t="s">
        <v>188</v>
      </c>
      <c r="CO124" s="48" t="str">
        <f>IF(CO122="YES",IF(CO121="Charge","YES","NO"),"NO")</f>
        <v>NO</v>
      </c>
      <c r="CP124" s="48" t="str">
        <f t="shared" ref="CP124:DK124" si="2385">IF(CP122="YES",IF(CP121="Charge","YES","NO"),"NO")</f>
        <v>NO</v>
      </c>
      <c r="CQ124" s="48" t="str">
        <f t="shared" si="2385"/>
        <v>NO</v>
      </c>
      <c r="CR124" s="48" t="str">
        <f t="shared" si="2385"/>
        <v>NO</v>
      </c>
      <c r="CS124" s="48" t="str">
        <f t="shared" si="2385"/>
        <v>NO</v>
      </c>
      <c r="CT124" s="48" t="str">
        <f t="shared" si="2385"/>
        <v>NO</v>
      </c>
      <c r="CU124" s="48" t="str">
        <f t="shared" si="2385"/>
        <v>NO</v>
      </c>
      <c r="CV124" s="48" t="str">
        <f t="shared" si="2385"/>
        <v>NO</v>
      </c>
      <c r="CW124" s="48" t="str">
        <f t="shared" si="2385"/>
        <v>NO</v>
      </c>
      <c r="CX124" s="48" t="str">
        <f t="shared" si="2385"/>
        <v>NO</v>
      </c>
      <c r="CY124" s="48" t="str">
        <f t="shared" si="2385"/>
        <v>NO</v>
      </c>
      <c r="CZ124" s="48" t="str">
        <f t="shared" si="2385"/>
        <v>NO</v>
      </c>
      <c r="DA124" s="48" t="str">
        <f t="shared" si="2385"/>
        <v>NO</v>
      </c>
      <c r="DB124" s="48" t="str">
        <f t="shared" si="2385"/>
        <v>NO</v>
      </c>
      <c r="DC124" s="48" t="str">
        <f t="shared" si="2385"/>
        <v>NO</v>
      </c>
      <c r="DD124" s="48" t="str">
        <f t="shared" si="2385"/>
        <v>NO</v>
      </c>
      <c r="DE124" s="48" t="str">
        <f t="shared" si="2385"/>
        <v>NO</v>
      </c>
      <c r="DF124" s="48" t="str">
        <f t="shared" si="2385"/>
        <v>NO</v>
      </c>
      <c r="DG124" s="48" t="str">
        <f t="shared" si="2385"/>
        <v>NO</v>
      </c>
      <c r="DH124" s="48" t="str">
        <f t="shared" si="2385"/>
        <v>NO</v>
      </c>
      <c r="DI124" s="48" t="str">
        <f t="shared" si="2385"/>
        <v>NO</v>
      </c>
      <c r="DJ124" s="48" t="str">
        <f t="shared" si="2385"/>
        <v>NO</v>
      </c>
      <c r="DK124" s="48" t="str">
        <f t="shared" si="2385"/>
        <v>NO</v>
      </c>
      <c r="DL124" s="1" t="s">
        <v>188</v>
      </c>
      <c r="DO124" s="48" t="str">
        <f>IF(DO122="YES",IF(DO121="Charge","YES","NO"),"NO")</f>
        <v>NO</v>
      </c>
      <c r="DP124" s="48" t="str">
        <f t="shared" ref="DP124:EK124" si="2386">IF(DP122="YES",IF(DP121="Charge","YES","NO"),"NO")</f>
        <v>NO</v>
      </c>
      <c r="DQ124" s="48" t="str">
        <f t="shared" si="2386"/>
        <v>NO</v>
      </c>
      <c r="DR124" s="48" t="str">
        <f t="shared" si="2386"/>
        <v>NO</v>
      </c>
      <c r="DS124" s="48" t="str">
        <f t="shared" si="2386"/>
        <v>NO</v>
      </c>
      <c r="DT124" s="48" t="str">
        <f t="shared" si="2386"/>
        <v>NO</v>
      </c>
      <c r="DU124" s="48" t="str">
        <f t="shared" si="2386"/>
        <v>NO</v>
      </c>
      <c r="DV124" s="48" t="str">
        <f t="shared" si="2386"/>
        <v>NO</v>
      </c>
      <c r="DW124" s="48" t="str">
        <f t="shared" si="2386"/>
        <v>NO</v>
      </c>
      <c r="DX124" s="48" t="str">
        <f t="shared" si="2386"/>
        <v>NO</v>
      </c>
      <c r="DY124" s="48" t="str">
        <f t="shared" si="2386"/>
        <v>NO</v>
      </c>
      <c r="DZ124" s="48" t="str">
        <f t="shared" si="2386"/>
        <v>NO</v>
      </c>
      <c r="EA124" s="48" t="str">
        <f t="shared" si="2386"/>
        <v>NO</v>
      </c>
      <c r="EB124" s="48" t="str">
        <f t="shared" si="2386"/>
        <v>NO</v>
      </c>
      <c r="EC124" s="48" t="str">
        <f t="shared" si="2386"/>
        <v>NO</v>
      </c>
      <c r="ED124" s="48" t="str">
        <f t="shared" si="2386"/>
        <v>NO</v>
      </c>
      <c r="EE124" s="48" t="str">
        <f t="shared" si="2386"/>
        <v>NO</v>
      </c>
      <c r="EF124" s="48" t="str">
        <f t="shared" si="2386"/>
        <v>NO</v>
      </c>
      <c r="EG124" s="48" t="str">
        <f t="shared" si="2386"/>
        <v>NO</v>
      </c>
      <c r="EH124" s="48" t="str">
        <f t="shared" si="2386"/>
        <v>NO</v>
      </c>
      <c r="EI124" s="48" t="str">
        <f t="shared" si="2386"/>
        <v>NO</v>
      </c>
      <c r="EJ124" s="48" t="str">
        <f t="shared" si="2386"/>
        <v>NO</v>
      </c>
      <c r="EK124" s="48" t="str">
        <f t="shared" si="2386"/>
        <v>NO</v>
      </c>
      <c r="EL124" s="1" t="s">
        <v>188</v>
      </c>
      <c r="EO124" s="48" t="str">
        <f>IF(EO122="YES",IF(EO121="Charge","YES","NO"),"NO")</f>
        <v>YES</v>
      </c>
      <c r="EP124" s="48" t="str">
        <f t="shared" ref="EP124:FK124" si="2387">IF(EP122="YES",IF(EP121="Charge","YES","NO"),"NO")</f>
        <v>NO</v>
      </c>
      <c r="EQ124" s="48" t="str">
        <f t="shared" si="2387"/>
        <v>NO</v>
      </c>
      <c r="ER124" s="48" t="str">
        <f t="shared" si="2387"/>
        <v>NO</v>
      </c>
      <c r="ES124" s="48" t="str">
        <f t="shared" si="2387"/>
        <v>NO</v>
      </c>
      <c r="ET124" s="48" t="str">
        <f t="shared" si="2387"/>
        <v>NO</v>
      </c>
      <c r="EU124" s="48" t="str">
        <f t="shared" si="2387"/>
        <v>NO</v>
      </c>
      <c r="EV124" s="48" t="str">
        <f t="shared" si="2387"/>
        <v>YES</v>
      </c>
      <c r="EW124" s="48" t="str">
        <f t="shared" si="2387"/>
        <v>NO</v>
      </c>
      <c r="EX124" s="48" t="str">
        <f t="shared" si="2387"/>
        <v>NO</v>
      </c>
      <c r="EY124" s="48" t="str">
        <f t="shared" si="2387"/>
        <v>NO</v>
      </c>
      <c r="EZ124" s="48" t="str">
        <f t="shared" si="2387"/>
        <v>NO</v>
      </c>
      <c r="FA124" s="48" t="str">
        <f t="shared" si="2387"/>
        <v>NO</v>
      </c>
      <c r="FB124" s="48" t="str">
        <f t="shared" si="2387"/>
        <v>NO</v>
      </c>
      <c r="FC124" s="48" t="str">
        <f t="shared" si="2387"/>
        <v>NO</v>
      </c>
      <c r="FD124" s="48" t="str">
        <f t="shared" si="2387"/>
        <v>NO</v>
      </c>
      <c r="FE124" s="48" t="str">
        <f t="shared" si="2387"/>
        <v>YES</v>
      </c>
      <c r="FF124" s="48" t="str">
        <f t="shared" si="2387"/>
        <v>NO</v>
      </c>
      <c r="FG124" s="48" t="str">
        <f t="shared" si="2387"/>
        <v>NO</v>
      </c>
      <c r="FH124" s="48" t="str">
        <f t="shared" si="2387"/>
        <v>NO</v>
      </c>
      <c r="FI124" s="48" t="str">
        <f t="shared" si="2387"/>
        <v>NO</v>
      </c>
      <c r="FJ124" s="48" t="str">
        <f t="shared" si="2387"/>
        <v>NO</v>
      </c>
      <c r="FK124" s="48" t="str">
        <f t="shared" si="2387"/>
        <v>NO</v>
      </c>
    </row>
  </sheetData>
  <scenarios current="2">
    <scenario name="Low DD" locked="1" count="1" user="Jun Jie" comment="Created by Jun Jie on 10/18/2021">
      <inputCells r="R13" val="2"/>
    </scenario>
    <scenario name="Med DD" locked="1" count="1" user="Jun Jie" comment="Created by Jun Jie on 10/18/2021_x000a_Modified by Jun Jie on 10/18/2021">
      <inputCells r="R13" val="8"/>
    </scenario>
    <scenario name="High DD" locked="1" count="1" user="Jun Jie" comment="Created by Jun Jie on 10/18/2021">
      <inputCells r="R13" val="14"/>
    </scenario>
  </scenarios>
  <mergeCells count="21">
    <mergeCell ref="B20:J20"/>
    <mergeCell ref="EN36:FK36"/>
    <mergeCell ref="AN36:BK36"/>
    <mergeCell ref="BN36:CK36"/>
    <mergeCell ref="CN36:DK36"/>
    <mergeCell ref="DN36:EK36"/>
    <mergeCell ref="N36:AK36"/>
    <mergeCell ref="DN71:EK71"/>
    <mergeCell ref="EN71:FK71"/>
    <mergeCell ref="N71:AK71"/>
    <mergeCell ref="B55:J55"/>
    <mergeCell ref="AN71:BK71"/>
    <mergeCell ref="BN71:CK71"/>
    <mergeCell ref="CN71:DK71"/>
    <mergeCell ref="DN106:EK106"/>
    <mergeCell ref="EN106:FK106"/>
    <mergeCell ref="B90:J90"/>
    <mergeCell ref="N106:AK106"/>
    <mergeCell ref="AN106:BK106"/>
    <mergeCell ref="BN106:CK106"/>
    <mergeCell ref="CN106:DK106"/>
  </mergeCells>
  <phoneticPr fontId="7" type="noConversion"/>
  <conditionalFormatting sqref="CO52:DK52">
    <cfRule type="containsText" dxfId="107" priority="87" operator="containsText" text="Y">
      <formula>NOT(ISERROR(SEARCH("Y",CO52)))</formula>
    </cfRule>
  </conditionalFormatting>
  <conditionalFormatting sqref="BO53:CK53">
    <cfRule type="containsText" dxfId="106" priority="94" operator="containsText" text="Y">
      <formula>NOT(ISERROR(SEARCH("Y",BO53)))</formula>
    </cfRule>
  </conditionalFormatting>
  <conditionalFormatting sqref="N51:AJ51">
    <cfRule type="containsText" dxfId="105" priority="205" operator="containsText" text="YES">
      <formula>NOT(ISERROR(SEARCH("YES",N51)))</formula>
    </cfRule>
  </conditionalFormatting>
  <conditionalFormatting sqref="N50:AK50">
    <cfRule type="containsText" dxfId="104" priority="206" operator="containsText" text="YES">
      <formula>NOT(ISERROR(SEARCH("YES",N50)))</formula>
    </cfRule>
  </conditionalFormatting>
  <conditionalFormatting sqref="BN51:CJ51">
    <cfRule type="containsText" dxfId="103" priority="95" operator="containsText" text="YES">
      <formula>NOT(ISERROR(SEARCH("YES",BN51)))</formula>
    </cfRule>
  </conditionalFormatting>
  <conditionalFormatting sqref="O53:AK53">
    <cfRule type="containsText" dxfId="102" priority="204" operator="containsText" text="Y">
      <formula>NOT(ISERROR(SEARCH("Y",O53)))</formula>
    </cfRule>
  </conditionalFormatting>
  <conditionalFormatting sqref="O52:AK52">
    <cfRule type="containsText" dxfId="101" priority="203" operator="containsText" text="Y">
      <formula>NOT(ISERROR(SEARCH("Y",O52)))</formula>
    </cfRule>
  </conditionalFormatting>
  <conditionalFormatting sqref="V51:AI51">
    <cfRule type="cellIs" dxfId="100" priority="202" operator="equal">
      <formula>"Charge"</formula>
    </cfRule>
  </conditionalFormatting>
  <conditionalFormatting sqref="O54:AK54">
    <cfRule type="containsText" dxfId="99" priority="200" operator="containsText" text="Y">
      <formula>NOT(ISERROR(SEARCH("Y",O54)))</formula>
    </cfRule>
  </conditionalFormatting>
  <conditionalFormatting sqref="EN51:FJ51">
    <cfRule type="containsText" dxfId="98" priority="77" operator="containsText" text="YES">
      <formula>NOT(ISERROR(SEARCH("YES",EN51)))</formula>
    </cfRule>
  </conditionalFormatting>
  <conditionalFormatting sqref="EO52:FK52">
    <cfRule type="containsText" dxfId="97" priority="75" operator="containsText" text="Y">
      <formula>NOT(ISERROR(SEARCH("Y",EO52)))</formula>
    </cfRule>
  </conditionalFormatting>
  <conditionalFormatting sqref="CN51:DJ51">
    <cfRule type="containsText" dxfId="96" priority="89" operator="containsText" text="YES">
      <formula>NOT(ISERROR(SEARCH("YES",CN51)))</formula>
    </cfRule>
  </conditionalFormatting>
  <conditionalFormatting sqref="CN50:DK50">
    <cfRule type="containsText" dxfId="95" priority="90" operator="containsText" text="YES">
      <formula>NOT(ISERROR(SEARCH("YES",CN50)))</formula>
    </cfRule>
  </conditionalFormatting>
  <conditionalFormatting sqref="CO53:DK53">
    <cfRule type="containsText" dxfId="94" priority="88" operator="containsText" text="Y">
      <formula>NOT(ISERROR(SEARCH("Y",CO53)))</formula>
    </cfRule>
  </conditionalFormatting>
  <conditionalFormatting sqref="CV51:DI51">
    <cfRule type="cellIs" dxfId="93" priority="86" operator="equal">
      <formula>"Charge"</formula>
    </cfRule>
  </conditionalFormatting>
  <conditionalFormatting sqref="BO52:CK52">
    <cfRule type="containsText" dxfId="92" priority="93" operator="containsText" text="Y">
      <formula>NOT(ISERROR(SEARCH("Y",BO52)))</formula>
    </cfRule>
  </conditionalFormatting>
  <conditionalFormatting sqref="BO54:CK54">
    <cfRule type="containsText" dxfId="91" priority="91" operator="containsText" text="Y">
      <formula>NOT(ISERROR(SEARCH("Y",BO54)))</formula>
    </cfRule>
  </conditionalFormatting>
  <conditionalFormatting sqref="AN51:BJ51">
    <cfRule type="containsText" dxfId="90" priority="107" operator="containsText" text="YES">
      <formula>NOT(ISERROR(SEARCH("YES",AN51)))</formula>
    </cfRule>
  </conditionalFormatting>
  <conditionalFormatting sqref="AO52:BK52">
    <cfRule type="containsText" dxfId="89" priority="105" operator="containsText" text="Y">
      <formula>NOT(ISERROR(SEARCH("Y",AO52)))</formula>
    </cfRule>
  </conditionalFormatting>
  <conditionalFormatting sqref="EN120:FK120">
    <cfRule type="containsText" dxfId="88" priority="6" operator="containsText" text="YES">
      <formula>NOT(ISERROR(SEARCH("YES",EN120)))</formula>
    </cfRule>
  </conditionalFormatting>
  <conditionalFormatting sqref="EO123:FK123">
    <cfRule type="containsText" dxfId="87" priority="4" operator="containsText" text="Y">
      <formula>NOT(ISERROR(SEARCH("Y",EO123)))</formula>
    </cfRule>
  </conditionalFormatting>
  <conditionalFormatting sqref="EV121:FI121">
    <cfRule type="cellIs" dxfId="86" priority="2" operator="equal">
      <formula>"Charge"</formula>
    </cfRule>
  </conditionalFormatting>
  <conditionalFormatting sqref="EO124:FK124">
    <cfRule type="containsText" dxfId="85" priority="1" operator="containsText" text="Y">
      <formula>NOT(ISERROR(SEARCH("Y",EO124)))</formula>
    </cfRule>
  </conditionalFormatting>
  <conditionalFormatting sqref="AN50:BK50">
    <cfRule type="containsText" dxfId="84" priority="108" operator="containsText" text="YES">
      <formula>NOT(ISERROR(SEARCH("YES",AN50)))</formula>
    </cfRule>
  </conditionalFormatting>
  <conditionalFormatting sqref="AO53:BK53">
    <cfRule type="containsText" dxfId="83" priority="106" operator="containsText" text="Y">
      <formula>NOT(ISERROR(SEARCH("Y",AO53)))</formula>
    </cfRule>
  </conditionalFormatting>
  <conditionalFormatting sqref="AV51:BI51">
    <cfRule type="cellIs" dxfId="82" priority="104" operator="equal">
      <formula>"Charge"</formula>
    </cfRule>
  </conditionalFormatting>
  <conditionalFormatting sqref="AO54:BK54">
    <cfRule type="containsText" dxfId="81" priority="103" operator="containsText" text="Y">
      <formula>NOT(ISERROR(SEARCH("Y",AO54)))</formula>
    </cfRule>
  </conditionalFormatting>
  <conditionalFormatting sqref="EN121:FJ121">
    <cfRule type="containsText" dxfId="80" priority="5" operator="containsText" text="YES">
      <formula>NOT(ISERROR(SEARCH("YES",EN121)))</formula>
    </cfRule>
  </conditionalFormatting>
  <conditionalFormatting sqref="EO122:FK122">
    <cfRule type="containsText" dxfId="79" priority="3" operator="containsText" text="Y">
      <formula>NOT(ISERROR(SEARCH("Y",EO122)))</formula>
    </cfRule>
  </conditionalFormatting>
  <conditionalFormatting sqref="BN50:CK50">
    <cfRule type="containsText" dxfId="78" priority="96" operator="containsText" text="YES">
      <formula>NOT(ISERROR(SEARCH("YES",BN50)))</formula>
    </cfRule>
  </conditionalFormatting>
  <conditionalFormatting sqref="BV51:CI51">
    <cfRule type="cellIs" dxfId="77" priority="92" operator="equal">
      <formula>"Charge"</formula>
    </cfRule>
  </conditionalFormatting>
  <conditionalFormatting sqref="CO54:DK54">
    <cfRule type="containsText" dxfId="76" priority="85" operator="containsText" text="Y">
      <formula>NOT(ISERROR(SEARCH("Y",CO54)))</formula>
    </cfRule>
  </conditionalFormatting>
  <conditionalFormatting sqref="DN51:EJ51">
    <cfRule type="containsText" dxfId="75" priority="83" operator="containsText" text="YES">
      <formula>NOT(ISERROR(SEARCH("YES",DN51)))</formula>
    </cfRule>
  </conditionalFormatting>
  <conditionalFormatting sqref="DN50:EK50">
    <cfRule type="containsText" dxfId="74" priority="84" operator="containsText" text="YES">
      <formula>NOT(ISERROR(SEARCH("YES",DN50)))</formula>
    </cfRule>
  </conditionalFormatting>
  <conditionalFormatting sqref="DO53:EK53">
    <cfRule type="containsText" dxfId="73" priority="82" operator="containsText" text="Y">
      <formula>NOT(ISERROR(SEARCH("Y",DO53)))</formula>
    </cfRule>
  </conditionalFormatting>
  <conditionalFormatting sqref="DO52:EK52">
    <cfRule type="containsText" dxfId="72" priority="81" operator="containsText" text="Y">
      <formula>NOT(ISERROR(SEARCH("Y",DO52)))</formula>
    </cfRule>
  </conditionalFormatting>
  <conditionalFormatting sqref="DV51:EI51">
    <cfRule type="cellIs" dxfId="71" priority="80" operator="equal">
      <formula>"Charge"</formula>
    </cfRule>
  </conditionalFormatting>
  <conditionalFormatting sqref="DO54:EK54">
    <cfRule type="containsText" dxfId="70" priority="79" operator="containsText" text="Y">
      <formula>NOT(ISERROR(SEARCH("Y",DO54)))</formula>
    </cfRule>
  </conditionalFormatting>
  <conditionalFormatting sqref="EN50:FK50">
    <cfRule type="containsText" dxfId="69" priority="78" operator="containsText" text="YES">
      <formula>NOT(ISERROR(SEARCH("YES",EN50)))</formula>
    </cfRule>
  </conditionalFormatting>
  <conditionalFormatting sqref="EO53:FK53">
    <cfRule type="containsText" dxfId="68" priority="76" operator="containsText" text="Y">
      <formula>NOT(ISERROR(SEARCH("Y",EO53)))</formula>
    </cfRule>
  </conditionalFormatting>
  <conditionalFormatting sqref="EV51:FI51">
    <cfRule type="cellIs" dxfId="67" priority="74" operator="equal">
      <formula>"Charge"</formula>
    </cfRule>
  </conditionalFormatting>
  <conditionalFormatting sqref="EO54:FK54">
    <cfRule type="containsText" dxfId="66" priority="73" operator="containsText" text="Y">
      <formula>NOT(ISERROR(SEARCH("Y",EO54)))</formula>
    </cfRule>
  </conditionalFormatting>
  <conditionalFormatting sqref="N86:AJ86">
    <cfRule type="containsText" dxfId="65" priority="71" operator="containsText" text="YES">
      <formula>NOT(ISERROR(SEARCH("YES",N86)))</formula>
    </cfRule>
  </conditionalFormatting>
  <conditionalFormatting sqref="N85:AK85">
    <cfRule type="containsText" dxfId="64" priority="72" operator="containsText" text="YES">
      <formula>NOT(ISERROR(SEARCH("YES",N85)))</formula>
    </cfRule>
  </conditionalFormatting>
  <conditionalFormatting sqref="O88:AK88">
    <cfRule type="containsText" dxfId="63" priority="70" operator="containsText" text="Y">
      <formula>NOT(ISERROR(SEARCH("Y",O88)))</formula>
    </cfRule>
  </conditionalFormatting>
  <conditionalFormatting sqref="O87:AK87">
    <cfRule type="containsText" dxfId="62" priority="69" operator="containsText" text="Y">
      <formula>NOT(ISERROR(SEARCH("Y",O87)))</formula>
    </cfRule>
  </conditionalFormatting>
  <conditionalFormatting sqref="V86:AI86">
    <cfRule type="cellIs" dxfId="61" priority="68" operator="equal">
      <formula>"Charge"</formula>
    </cfRule>
  </conditionalFormatting>
  <conditionalFormatting sqref="O89:AK89">
    <cfRule type="containsText" dxfId="60" priority="67" operator="containsText" text="Y">
      <formula>NOT(ISERROR(SEARCH("Y",O89)))</formula>
    </cfRule>
  </conditionalFormatting>
  <conditionalFormatting sqref="AN86:BJ86">
    <cfRule type="containsText" dxfId="59" priority="65" operator="containsText" text="YES">
      <formula>NOT(ISERROR(SEARCH("YES",AN86)))</formula>
    </cfRule>
  </conditionalFormatting>
  <conditionalFormatting sqref="AN85:BK85">
    <cfRule type="containsText" dxfId="58" priority="66" operator="containsText" text="YES">
      <formula>NOT(ISERROR(SEARCH("YES",AN85)))</formula>
    </cfRule>
  </conditionalFormatting>
  <conditionalFormatting sqref="AO88:BK88">
    <cfRule type="containsText" dxfId="57" priority="64" operator="containsText" text="Y">
      <formula>NOT(ISERROR(SEARCH("Y",AO88)))</formula>
    </cfRule>
  </conditionalFormatting>
  <conditionalFormatting sqref="AO87:BK87">
    <cfRule type="containsText" dxfId="56" priority="63" operator="containsText" text="Y">
      <formula>NOT(ISERROR(SEARCH("Y",AO87)))</formula>
    </cfRule>
  </conditionalFormatting>
  <conditionalFormatting sqref="AV86:BI86">
    <cfRule type="cellIs" dxfId="55" priority="62" operator="equal">
      <formula>"Charge"</formula>
    </cfRule>
  </conditionalFormatting>
  <conditionalFormatting sqref="AO89:BK89">
    <cfRule type="containsText" dxfId="54" priority="61" operator="containsText" text="Y">
      <formula>NOT(ISERROR(SEARCH("Y",AO89)))</formula>
    </cfRule>
  </conditionalFormatting>
  <conditionalFormatting sqref="BN86:CJ86">
    <cfRule type="containsText" dxfId="53" priority="59" operator="containsText" text="YES">
      <formula>NOT(ISERROR(SEARCH("YES",BN86)))</formula>
    </cfRule>
  </conditionalFormatting>
  <conditionalFormatting sqref="BN85:CK85">
    <cfRule type="containsText" dxfId="52" priority="60" operator="containsText" text="YES">
      <formula>NOT(ISERROR(SEARCH("YES",BN85)))</formula>
    </cfRule>
  </conditionalFormatting>
  <conditionalFormatting sqref="BO88:CK88">
    <cfRule type="containsText" dxfId="51" priority="58" operator="containsText" text="Y">
      <formula>NOT(ISERROR(SEARCH("Y",BO88)))</formula>
    </cfRule>
  </conditionalFormatting>
  <conditionalFormatting sqref="BO87:CK87">
    <cfRule type="containsText" dxfId="50" priority="57" operator="containsText" text="Y">
      <formula>NOT(ISERROR(SEARCH("Y",BO87)))</formula>
    </cfRule>
  </conditionalFormatting>
  <conditionalFormatting sqref="BV86:CI86">
    <cfRule type="cellIs" dxfId="49" priority="56" operator="equal">
      <formula>"Charge"</formula>
    </cfRule>
  </conditionalFormatting>
  <conditionalFormatting sqref="BO89:CK89">
    <cfRule type="containsText" dxfId="48" priority="55" operator="containsText" text="Y">
      <formula>NOT(ISERROR(SEARCH("Y",BO89)))</formula>
    </cfRule>
  </conditionalFormatting>
  <conditionalFormatting sqref="CN86:DJ86">
    <cfRule type="containsText" dxfId="47" priority="53" operator="containsText" text="YES">
      <formula>NOT(ISERROR(SEARCH("YES",CN86)))</formula>
    </cfRule>
  </conditionalFormatting>
  <conditionalFormatting sqref="CN85:DK85">
    <cfRule type="containsText" dxfId="46" priority="54" operator="containsText" text="YES">
      <formula>NOT(ISERROR(SEARCH("YES",CN85)))</formula>
    </cfRule>
  </conditionalFormatting>
  <conditionalFormatting sqref="CO88:DK88">
    <cfRule type="containsText" dxfId="45" priority="52" operator="containsText" text="Y">
      <formula>NOT(ISERROR(SEARCH("Y",CO88)))</formula>
    </cfRule>
  </conditionalFormatting>
  <conditionalFormatting sqref="CO87:DK87">
    <cfRule type="containsText" dxfId="44" priority="51" operator="containsText" text="Y">
      <formula>NOT(ISERROR(SEARCH("Y",CO87)))</formula>
    </cfRule>
  </conditionalFormatting>
  <conditionalFormatting sqref="CV86:DI86">
    <cfRule type="cellIs" dxfId="43" priority="50" operator="equal">
      <formula>"Charge"</formula>
    </cfRule>
  </conditionalFormatting>
  <conditionalFormatting sqref="CO89:DK89">
    <cfRule type="containsText" dxfId="42" priority="49" operator="containsText" text="Y">
      <formula>NOT(ISERROR(SEARCH("Y",CO89)))</formula>
    </cfRule>
  </conditionalFormatting>
  <conditionalFormatting sqref="DN86:EJ86">
    <cfRule type="containsText" dxfId="41" priority="47" operator="containsText" text="YES">
      <formula>NOT(ISERROR(SEARCH("YES",DN86)))</formula>
    </cfRule>
  </conditionalFormatting>
  <conditionalFormatting sqref="DN85:EK85">
    <cfRule type="containsText" dxfId="40" priority="48" operator="containsText" text="YES">
      <formula>NOT(ISERROR(SEARCH("YES",DN85)))</formula>
    </cfRule>
  </conditionalFormatting>
  <conditionalFormatting sqref="DO88:EK88">
    <cfRule type="containsText" dxfId="39" priority="46" operator="containsText" text="Y">
      <formula>NOT(ISERROR(SEARCH("Y",DO88)))</formula>
    </cfRule>
  </conditionalFormatting>
  <conditionalFormatting sqref="DO87:EK87">
    <cfRule type="containsText" dxfId="38" priority="45" operator="containsText" text="Y">
      <formula>NOT(ISERROR(SEARCH("Y",DO87)))</formula>
    </cfRule>
  </conditionalFormatting>
  <conditionalFormatting sqref="DV86:EI86">
    <cfRule type="cellIs" dxfId="37" priority="44" operator="equal">
      <formula>"Charge"</formula>
    </cfRule>
  </conditionalFormatting>
  <conditionalFormatting sqref="DO89:EK89">
    <cfRule type="containsText" dxfId="36" priority="43" operator="containsText" text="Y">
      <formula>NOT(ISERROR(SEARCH("Y",DO89)))</formula>
    </cfRule>
  </conditionalFormatting>
  <conditionalFormatting sqref="EN86:FJ86">
    <cfRule type="containsText" dxfId="35" priority="41" operator="containsText" text="YES">
      <formula>NOT(ISERROR(SEARCH("YES",EN86)))</formula>
    </cfRule>
  </conditionalFormatting>
  <conditionalFormatting sqref="EN85:FK85">
    <cfRule type="containsText" dxfId="34" priority="42" operator="containsText" text="YES">
      <formula>NOT(ISERROR(SEARCH("YES",EN85)))</formula>
    </cfRule>
  </conditionalFormatting>
  <conditionalFormatting sqref="EO88:FK88">
    <cfRule type="containsText" dxfId="33" priority="40" operator="containsText" text="Y">
      <formula>NOT(ISERROR(SEARCH("Y",EO88)))</formula>
    </cfRule>
  </conditionalFormatting>
  <conditionalFormatting sqref="EO87:FK87">
    <cfRule type="containsText" dxfId="32" priority="39" operator="containsText" text="Y">
      <formula>NOT(ISERROR(SEARCH("Y",EO87)))</formula>
    </cfRule>
  </conditionalFormatting>
  <conditionalFormatting sqref="EV86:FI86">
    <cfRule type="cellIs" dxfId="31" priority="38" operator="equal">
      <formula>"Charge"</formula>
    </cfRule>
  </conditionalFormatting>
  <conditionalFormatting sqref="EO89:FK89">
    <cfRule type="containsText" dxfId="30" priority="37" operator="containsText" text="Y">
      <formula>NOT(ISERROR(SEARCH("Y",EO89)))</formula>
    </cfRule>
  </conditionalFormatting>
  <conditionalFormatting sqref="N121:AJ121">
    <cfRule type="containsText" dxfId="29" priority="35" operator="containsText" text="YES">
      <formula>NOT(ISERROR(SEARCH("YES",N121)))</formula>
    </cfRule>
  </conditionalFormatting>
  <conditionalFormatting sqref="N120:AK120">
    <cfRule type="containsText" dxfId="28" priority="36" operator="containsText" text="YES">
      <formula>NOT(ISERROR(SEARCH("YES",N120)))</formula>
    </cfRule>
  </conditionalFormatting>
  <conditionalFormatting sqref="O123:AK123">
    <cfRule type="containsText" dxfId="27" priority="34" operator="containsText" text="Y">
      <formula>NOT(ISERROR(SEARCH("Y",O123)))</formula>
    </cfRule>
  </conditionalFormatting>
  <conditionalFormatting sqref="O122:AK122">
    <cfRule type="containsText" dxfId="26" priority="33" operator="containsText" text="Y">
      <formula>NOT(ISERROR(SEARCH("Y",O122)))</formula>
    </cfRule>
  </conditionalFormatting>
  <conditionalFormatting sqref="V121:AI121">
    <cfRule type="cellIs" dxfId="25" priority="32" operator="equal">
      <formula>"Charge"</formula>
    </cfRule>
  </conditionalFormatting>
  <conditionalFormatting sqref="O124:AK124">
    <cfRule type="containsText" dxfId="24" priority="31" operator="containsText" text="Y">
      <formula>NOT(ISERROR(SEARCH("Y",O124)))</formula>
    </cfRule>
  </conditionalFormatting>
  <conditionalFormatting sqref="AN121:BJ121">
    <cfRule type="containsText" dxfId="23" priority="29" operator="containsText" text="YES">
      <formula>NOT(ISERROR(SEARCH("YES",AN121)))</formula>
    </cfRule>
  </conditionalFormatting>
  <conditionalFormatting sqref="AN120:BK120">
    <cfRule type="containsText" dxfId="22" priority="30" operator="containsText" text="YES">
      <formula>NOT(ISERROR(SEARCH("YES",AN120)))</formula>
    </cfRule>
  </conditionalFormatting>
  <conditionalFormatting sqref="AO123:BK123">
    <cfRule type="containsText" dxfId="21" priority="28" operator="containsText" text="Y">
      <formula>NOT(ISERROR(SEARCH("Y",AO123)))</formula>
    </cfRule>
  </conditionalFormatting>
  <conditionalFormatting sqref="AO122:BK122">
    <cfRule type="containsText" dxfId="20" priority="27" operator="containsText" text="Y">
      <formula>NOT(ISERROR(SEARCH("Y",AO122)))</formula>
    </cfRule>
  </conditionalFormatting>
  <conditionalFormatting sqref="AV121:BI121">
    <cfRule type="cellIs" dxfId="19" priority="26" operator="equal">
      <formula>"Charge"</formula>
    </cfRule>
  </conditionalFormatting>
  <conditionalFormatting sqref="AO124:BK124">
    <cfRule type="containsText" dxfId="18" priority="25" operator="containsText" text="Y">
      <formula>NOT(ISERROR(SEARCH("Y",AO124)))</formula>
    </cfRule>
  </conditionalFormatting>
  <conditionalFormatting sqref="BN121:CJ121">
    <cfRule type="containsText" dxfId="17" priority="23" operator="containsText" text="YES">
      <formula>NOT(ISERROR(SEARCH("YES",BN121)))</formula>
    </cfRule>
  </conditionalFormatting>
  <conditionalFormatting sqref="BN120:CK120">
    <cfRule type="containsText" dxfId="16" priority="24" operator="containsText" text="YES">
      <formula>NOT(ISERROR(SEARCH("YES",BN120)))</formula>
    </cfRule>
  </conditionalFormatting>
  <conditionalFormatting sqref="BO123:CK123">
    <cfRule type="containsText" dxfId="15" priority="22" operator="containsText" text="Y">
      <formula>NOT(ISERROR(SEARCH("Y",BO123)))</formula>
    </cfRule>
  </conditionalFormatting>
  <conditionalFormatting sqref="BO122:CK122">
    <cfRule type="containsText" dxfId="14" priority="21" operator="containsText" text="Y">
      <formula>NOT(ISERROR(SEARCH("Y",BO122)))</formula>
    </cfRule>
  </conditionalFormatting>
  <conditionalFormatting sqref="BV121:CI121">
    <cfRule type="cellIs" dxfId="13" priority="20" operator="equal">
      <formula>"Charge"</formula>
    </cfRule>
  </conditionalFormatting>
  <conditionalFormatting sqref="BO124:CK124">
    <cfRule type="containsText" dxfId="12" priority="19" operator="containsText" text="Y">
      <formula>NOT(ISERROR(SEARCH("Y",BO124)))</formula>
    </cfRule>
  </conditionalFormatting>
  <conditionalFormatting sqref="CN121:DJ121">
    <cfRule type="containsText" dxfId="11" priority="17" operator="containsText" text="YES">
      <formula>NOT(ISERROR(SEARCH("YES",CN121)))</formula>
    </cfRule>
  </conditionalFormatting>
  <conditionalFormatting sqref="CN120:DK120">
    <cfRule type="containsText" dxfId="10" priority="18" operator="containsText" text="YES">
      <formula>NOT(ISERROR(SEARCH("YES",CN120)))</formula>
    </cfRule>
  </conditionalFormatting>
  <conditionalFormatting sqref="CO123:DK123">
    <cfRule type="containsText" dxfId="9" priority="16" operator="containsText" text="Y">
      <formula>NOT(ISERROR(SEARCH("Y",CO123)))</formula>
    </cfRule>
  </conditionalFormatting>
  <conditionalFormatting sqref="CO122:DK122">
    <cfRule type="containsText" dxfId="8" priority="15" operator="containsText" text="Y">
      <formula>NOT(ISERROR(SEARCH("Y",CO122)))</formula>
    </cfRule>
  </conditionalFormatting>
  <conditionalFormatting sqref="CV121:DI121">
    <cfRule type="cellIs" dxfId="7" priority="14" operator="equal">
      <formula>"Charge"</formula>
    </cfRule>
  </conditionalFormatting>
  <conditionalFormatting sqref="CO124:DK124">
    <cfRule type="containsText" dxfId="6" priority="13" operator="containsText" text="Y">
      <formula>NOT(ISERROR(SEARCH("Y",CO124)))</formula>
    </cfRule>
  </conditionalFormatting>
  <conditionalFormatting sqref="DN121:EJ121">
    <cfRule type="containsText" dxfId="5" priority="11" operator="containsText" text="YES">
      <formula>NOT(ISERROR(SEARCH("YES",DN121)))</formula>
    </cfRule>
  </conditionalFormatting>
  <conditionalFormatting sqref="DN120:EK120">
    <cfRule type="containsText" dxfId="4" priority="12" operator="containsText" text="YES">
      <formula>NOT(ISERROR(SEARCH("YES",DN120)))</formula>
    </cfRule>
  </conditionalFormatting>
  <conditionalFormatting sqref="DO123:EK123">
    <cfRule type="containsText" dxfId="3" priority="10" operator="containsText" text="Y">
      <formula>NOT(ISERROR(SEARCH("Y",DO123)))</formula>
    </cfRule>
  </conditionalFormatting>
  <conditionalFormatting sqref="DO122:EK122">
    <cfRule type="containsText" dxfId="2" priority="9" operator="containsText" text="Y">
      <formula>NOT(ISERROR(SEARCH("Y",DO122)))</formula>
    </cfRule>
  </conditionalFormatting>
  <conditionalFormatting sqref="DV121:EI121">
    <cfRule type="cellIs" dxfId="1" priority="8" operator="equal">
      <formula>"Charge"</formula>
    </cfRule>
  </conditionalFormatting>
  <conditionalFormatting sqref="DO124:EK124">
    <cfRule type="containsText" dxfId="0" priority="7" operator="containsText" text="Y">
      <formula>NOT(ISERROR(SEARCH("Y",DO124)))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DF07-2024-4369-AACE-0909CD68CEAA}">
  <sheetPr codeName="Sheet3"/>
  <dimension ref="A1:AE109"/>
  <sheetViews>
    <sheetView zoomScaleNormal="100" workbookViewId="0">
      <selection activeCell="E28" sqref="E28"/>
    </sheetView>
  </sheetViews>
  <sheetFormatPr defaultColWidth="9.140625" defaultRowHeight="15" x14ac:dyDescent="0.25"/>
  <cols>
    <col min="1" max="1" width="9.140625" style="1"/>
    <col min="2" max="2" width="16.5703125" style="1" customWidth="1"/>
    <col min="3" max="3" width="12.85546875" style="1" customWidth="1"/>
    <col min="4" max="4" width="15" style="1" customWidth="1"/>
    <col min="5" max="5" width="12.28515625" style="1" customWidth="1"/>
    <col min="6" max="6" width="9.140625" style="1"/>
    <col min="7" max="7" width="15.5703125" style="1" customWidth="1"/>
    <col min="8" max="8" width="10.5703125" style="1" customWidth="1"/>
    <col min="9" max="9" width="14.42578125" style="1" customWidth="1"/>
    <col min="10" max="10" width="12.42578125" style="1" customWidth="1"/>
    <col min="11" max="11" width="9.140625" style="1"/>
    <col min="12" max="12" width="11.5703125" style="1" bestFit="1" customWidth="1"/>
    <col min="13" max="13" width="9.140625" style="37"/>
    <col min="14" max="14" width="19" style="1" customWidth="1"/>
    <col min="15" max="16" width="11.28515625" style="1" bestFit="1" customWidth="1"/>
    <col min="17" max="17" width="16.28515625" style="1" bestFit="1" customWidth="1"/>
    <col min="18" max="18" width="11.5703125" style="1" bestFit="1" customWidth="1"/>
    <col min="19" max="19" width="11.42578125" style="1" customWidth="1"/>
    <col min="20" max="20" width="11" style="1" customWidth="1"/>
    <col min="21" max="21" width="11.5703125" style="1" customWidth="1"/>
    <col min="22" max="22" width="11.28515625" style="1" bestFit="1" customWidth="1"/>
    <col min="23" max="23" width="9.140625" style="1"/>
    <col min="24" max="24" width="9.140625" style="37"/>
    <col min="25" max="25" width="9.140625" style="1"/>
    <col min="26" max="26" width="11.28515625" style="1" bestFit="1" customWidth="1"/>
    <col min="27" max="27" width="11.28515625" style="86" bestFit="1" customWidth="1"/>
    <col min="28" max="28" width="11.28515625" style="1" bestFit="1" customWidth="1"/>
    <col min="29" max="16384" width="9.140625" style="1"/>
  </cols>
  <sheetData>
    <row r="1" spans="2:27" x14ac:dyDescent="0.25">
      <c r="N1" s="1" t="s">
        <v>87</v>
      </c>
      <c r="P1" s="1" t="s">
        <v>65</v>
      </c>
      <c r="Q1" s="68">
        <v>2</v>
      </c>
      <c r="S1" s="1" t="s">
        <v>118</v>
      </c>
      <c r="U1" s="1" t="s">
        <v>6</v>
      </c>
      <c r="V1" s="69">
        <v>7.9000000000000001E-2</v>
      </c>
    </row>
    <row r="2" spans="2:27" ht="15.75" x14ac:dyDescent="0.25">
      <c r="B2" s="132" t="s">
        <v>254</v>
      </c>
      <c r="C2" s="133"/>
      <c r="D2" s="133"/>
      <c r="E2" s="133"/>
      <c r="F2" s="133"/>
      <c r="G2" s="133"/>
      <c r="H2" s="133"/>
      <c r="I2" s="133"/>
      <c r="J2" s="134"/>
      <c r="N2" s="1" t="s">
        <v>194</v>
      </c>
      <c r="Q2" s="113">
        <v>17</v>
      </c>
    </row>
    <row r="3" spans="2:27" ht="15.75" x14ac:dyDescent="0.25">
      <c r="B3" s="51" t="s">
        <v>46</v>
      </c>
      <c r="C3" s="52"/>
      <c r="D3" s="52"/>
      <c r="E3" s="52"/>
      <c r="F3" s="52"/>
      <c r="G3" s="52"/>
      <c r="H3" s="52"/>
      <c r="I3" s="52"/>
      <c r="J3" s="53"/>
      <c r="L3" s="77" t="s">
        <v>11</v>
      </c>
      <c r="M3" s="79"/>
      <c r="N3" s="132" t="s">
        <v>254</v>
      </c>
      <c r="O3" s="133"/>
      <c r="P3" s="133"/>
      <c r="Q3" s="133"/>
      <c r="R3" s="133"/>
      <c r="S3" s="133"/>
      <c r="T3" s="133"/>
      <c r="U3" s="133"/>
      <c r="V3" s="134"/>
    </row>
    <row r="4" spans="2:27" x14ac:dyDescent="0.25">
      <c r="B4" s="54" t="s">
        <v>55</v>
      </c>
      <c r="G4" s="2" t="s">
        <v>51</v>
      </c>
      <c r="J4" s="38"/>
      <c r="L4" s="39" t="s">
        <v>12</v>
      </c>
      <c r="N4" s="37" t="s">
        <v>189</v>
      </c>
      <c r="P4" s="1">
        <v>0</v>
      </c>
      <c r="Q4" s="1">
        <v>1</v>
      </c>
      <c r="R4" s="1">
        <v>2</v>
      </c>
      <c r="S4" s="1">
        <v>3</v>
      </c>
      <c r="T4" s="1">
        <v>4</v>
      </c>
      <c r="U4" s="1">
        <v>5</v>
      </c>
      <c r="V4" s="70"/>
      <c r="Y4" s="52" t="s">
        <v>36</v>
      </c>
      <c r="Z4" s="52" t="s">
        <v>258</v>
      </c>
      <c r="AA4" s="52" t="s">
        <v>259</v>
      </c>
    </row>
    <row r="5" spans="2:27" x14ac:dyDescent="0.25">
      <c r="B5" s="37" t="s">
        <v>45</v>
      </c>
      <c r="D5" s="1" t="s">
        <v>47</v>
      </c>
      <c r="E5" s="20">
        <v>89460</v>
      </c>
      <c r="G5" s="1" t="s">
        <v>52</v>
      </c>
      <c r="I5" s="1" t="s">
        <v>47</v>
      </c>
      <c r="J5" s="17">
        <v>4.18</v>
      </c>
      <c r="L5" s="78" t="s">
        <v>61</v>
      </c>
      <c r="N5" s="71" t="s">
        <v>75</v>
      </c>
      <c r="O5" s="72"/>
      <c r="P5" s="72">
        <v>2021</v>
      </c>
      <c r="Q5" s="72">
        <v>2022</v>
      </c>
      <c r="R5" s="72">
        <v>2023</v>
      </c>
      <c r="S5" s="72">
        <v>2024</v>
      </c>
      <c r="T5" s="72">
        <v>2025</v>
      </c>
      <c r="U5" s="72">
        <v>2026</v>
      </c>
      <c r="V5" s="38"/>
      <c r="Z5" s="107">
        <f>Q26</f>
        <v>-89598.88657800408</v>
      </c>
      <c r="AA5" s="86">
        <f>Q27</f>
        <v>3.0836883244208968E-2</v>
      </c>
    </row>
    <row r="6" spans="2:27" x14ac:dyDescent="0.25">
      <c r="B6" s="37" t="s">
        <v>48</v>
      </c>
      <c r="D6" s="1" t="s">
        <v>47</v>
      </c>
      <c r="E6" s="20">
        <v>344443</v>
      </c>
      <c r="G6" s="2" t="s">
        <v>157</v>
      </c>
      <c r="J6" s="38"/>
      <c r="N6" s="37" t="s">
        <v>58</v>
      </c>
      <c r="P6" s="30"/>
      <c r="Q6" s="30">
        <f>SUM(Q7:Q8)</f>
        <v>373946.74824960006</v>
      </c>
      <c r="R6" s="30">
        <f t="shared" ref="R6:U6" si="0">SUM(R7:R8)</f>
        <v>416520.34824960015</v>
      </c>
      <c r="S6" s="30">
        <f t="shared" si="0"/>
        <v>395233.54824960011</v>
      </c>
      <c r="T6" s="30">
        <f t="shared" si="0"/>
        <v>437807.14824960008</v>
      </c>
      <c r="U6" s="30">
        <f t="shared" si="0"/>
        <v>437807.14824960008</v>
      </c>
      <c r="V6" s="38"/>
      <c r="Y6" s="1">
        <v>1</v>
      </c>
      <c r="Z6" s="107">
        <f t="dataTable" ref="Z6:AA23" dt2D="0" dtr="0" r1="Q2" ca="1"/>
        <v>-1069627.8925967796</v>
      </c>
      <c r="AA6" s="86">
        <v>-0.30679653460337963</v>
      </c>
    </row>
    <row r="7" spans="2:27" x14ac:dyDescent="0.25">
      <c r="B7" s="37" t="s">
        <v>50</v>
      </c>
      <c r="D7" s="1" t="s">
        <v>47</v>
      </c>
      <c r="E7" s="18">
        <v>816235</v>
      </c>
      <c r="G7" s="1" t="s">
        <v>165</v>
      </c>
      <c r="I7" s="1" t="s">
        <v>164</v>
      </c>
      <c r="J7" s="20">
        <f>Technical!E31*Technical!E29*(1+Technical!E30)/2</f>
        <v>2202.8463085320309</v>
      </c>
      <c r="N7" s="102" t="s">
        <v>59</v>
      </c>
      <c r="O7" s="73"/>
      <c r="P7" s="30"/>
      <c r="Q7" s="30">
        <f>$Q$1*Technical!E51*365*Technical!$E$26</f>
        <v>361875.60000000003</v>
      </c>
      <c r="R7" s="30">
        <f>$Q$1*Technical!AY31*365*Technical!$E$26</f>
        <v>404449.20000000013</v>
      </c>
      <c r="S7" s="30">
        <f>$Q$1*Technical!BY31*365*Technical!$E$26</f>
        <v>383162.40000000008</v>
      </c>
      <c r="T7" s="30">
        <f>$Q$1*Technical!CY31*365*Technical!$E$26</f>
        <v>425736.00000000006</v>
      </c>
      <c r="U7" s="30">
        <f>$Q$1*Technical!DY31*365*Technical!$E$26</f>
        <v>425736.00000000006</v>
      </c>
      <c r="V7" s="38"/>
      <c r="Y7" s="1">
        <v>2</v>
      </c>
      <c r="Z7" s="107">
        <v>-1005604.1185663701</v>
      </c>
      <c r="AA7" s="86">
        <v>-0.27625568213601814</v>
      </c>
    </row>
    <row r="8" spans="2:27" x14ac:dyDescent="0.25">
      <c r="B8" s="39" t="s">
        <v>49</v>
      </c>
      <c r="D8" s="1" t="s">
        <v>47</v>
      </c>
      <c r="E8" s="20">
        <v>30000</v>
      </c>
      <c r="G8" s="1" t="s">
        <v>162</v>
      </c>
      <c r="I8" s="1" t="s">
        <v>65</v>
      </c>
      <c r="J8" s="20">
        <f>E7/Technical!E23</f>
        <v>2305.7485875706216</v>
      </c>
      <c r="N8" s="102" t="s">
        <v>60</v>
      </c>
      <c r="O8" s="73"/>
      <c r="P8" s="30"/>
      <c r="Q8" s="104">
        <f>$J24*$J23*Technical!J41*Technical!$E26</f>
        <v>12071.148249600001</v>
      </c>
      <c r="R8" s="104">
        <f>$J24*$J23*Technical!AT23*Technical!$E26</f>
        <v>12071.148249600001</v>
      </c>
      <c r="S8" s="104">
        <f>$J24*$J23*Technical!BT23*Technical!$E26</f>
        <v>12071.148249600001</v>
      </c>
      <c r="T8" s="104">
        <f>$J24*$J23*Technical!CT23*Technical!$E26</f>
        <v>12071.148249600001</v>
      </c>
      <c r="U8" s="104">
        <f>$J24*$J23*Technical!DT23*Technical!$E26</f>
        <v>12071.148249600001</v>
      </c>
      <c r="V8" s="38"/>
      <c r="Y8" s="1">
        <v>3</v>
      </c>
      <c r="Z8" s="107">
        <v>-941580.3445359607</v>
      </c>
      <c r="AA8" s="86">
        <v>-0.24787758403936999</v>
      </c>
    </row>
    <row r="9" spans="2:27" x14ac:dyDescent="0.25">
      <c r="B9" s="54" t="s">
        <v>53</v>
      </c>
      <c r="D9" s="1" t="s">
        <v>47</v>
      </c>
      <c r="E9" s="20">
        <f>SUM(E5:E8)</f>
        <v>1280138</v>
      </c>
      <c r="G9" s="1" t="s">
        <v>148</v>
      </c>
      <c r="I9" s="1" t="s">
        <v>65</v>
      </c>
      <c r="J9" s="80">
        <f>J8/J7</f>
        <v>1.0467133265902533</v>
      </c>
      <c r="N9" s="39" t="s">
        <v>192</v>
      </c>
      <c r="O9" s="19"/>
      <c r="P9" s="30"/>
      <c r="Q9" s="33">
        <f>E19</f>
        <v>116612.61680000003</v>
      </c>
      <c r="R9" s="33">
        <f>(1.02)^Q4*SUM($E15:$E17)+($J25*Technical!AY23+Technical!AY22*$J26)*365*0.9</f>
        <v>116866.14216000003</v>
      </c>
      <c r="S9" s="33">
        <f>1.02^R4*SUM($E15:$E17)+($J25*Technical!BY23+Technical!BY22*$J26)*365*0.9</f>
        <v>117124.73802720003</v>
      </c>
      <c r="T9" s="33">
        <f>1.02^S4*SUM($E15:$E17)+($J25*Technical!CY23+Technical!CY22*$J26)*365*0.9</f>
        <v>117388.50581174403</v>
      </c>
      <c r="U9" s="33">
        <f>1.02^T4*SUM($E15:$E17)+($J25*Technical!DY23+Technical!DY22*$J26)*365*0.9</f>
        <v>117657.54895197891</v>
      </c>
      <c r="V9" s="38"/>
      <c r="Y9" s="1">
        <v>4</v>
      </c>
      <c r="Z9" s="107">
        <v>-877556.5705055513</v>
      </c>
      <c r="AA9" s="86">
        <v>-0.22124704958953001</v>
      </c>
    </row>
    <row r="10" spans="2:27" x14ac:dyDescent="0.25">
      <c r="B10" s="37"/>
      <c r="G10" s="1" t="s">
        <v>166</v>
      </c>
      <c r="I10" s="1" t="s">
        <v>14</v>
      </c>
      <c r="J10" s="20">
        <f>4*365*10*0.9*Technical!E35</f>
        <v>2365200</v>
      </c>
      <c r="N10" s="35" t="s">
        <v>86</v>
      </c>
      <c r="P10" s="41"/>
      <c r="Q10" s="41">
        <f t="shared" ref="Q10:U10" si="1">Q6-Q9</f>
        <v>257334.13144960004</v>
      </c>
      <c r="R10" s="41">
        <f t="shared" si="1"/>
        <v>299654.20608960011</v>
      </c>
      <c r="S10" s="41">
        <f t="shared" si="1"/>
        <v>278108.81022240006</v>
      </c>
      <c r="T10" s="41">
        <f t="shared" si="1"/>
        <v>320418.64243785606</v>
      </c>
      <c r="U10" s="41">
        <f t="shared" si="1"/>
        <v>320149.59929762117</v>
      </c>
      <c r="V10" s="38"/>
      <c r="Y10" s="1">
        <v>5</v>
      </c>
      <c r="Z10" s="107">
        <v>-813532.79647514166</v>
      </c>
      <c r="AA10" s="86">
        <v>-0.1960597133255324</v>
      </c>
    </row>
    <row r="11" spans="2:27" x14ac:dyDescent="0.25">
      <c r="B11" s="37"/>
      <c r="G11" s="1" t="s">
        <v>167</v>
      </c>
      <c r="I11" s="1" t="s">
        <v>168</v>
      </c>
      <c r="J11" s="20">
        <f>E6/Technical!E35</f>
        <v>1913.5722222222223</v>
      </c>
      <c r="N11" s="108" t="s">
        <v>146</v>
      </c>
      <c r="P11" s="30"/>
      <c r="Q11" s="97">
        <f t="shared" ref="Q11:U11" si="2">SUM(Q12:Q13)</f>
        <v>215739.89604392194</v>
      </c>
      <c r="R11" s="97">
        <f t="shared" si="2"/>
        <v>241121.06028438342</v>
      </c>
      <c r="S11" s="97">
        <f t="shared" si="2"/>
        <v>228430.47816415265</v>
      </c>
      <c r="T11" s="97">
        <f t="shared" si="2"/>
        <v>253811.64240461405</v>
      </c>
      <c r="U11" s="97">
        <f t="shared" si="2"/>
        <v>253811.64240461405</v>
      </c>
      <c r="V11" s="38"/>
      <c r="Y11" s="1">
        <v>6</v>
      </c>
      <c r="Z11" s="107">
        <v>-749509.02244473225</v>
      </c>
      <c r="AA11" s="86">
        <v>-0.17208541793937693</v>
      </c>
    </row>
    <row r="12" spans="2:27" x14ac:dyDescent="0.25">
      <c r="B12" s="37"/>
      <c r="G12" s="1" t="s">
        <v>147</v>
      </c>
      <c r="I12" s="1" t="s">
        <v>65</v>
      </c>
      <c r="J12" s="80">
        <f>J11*Technical!E35/J10</f>
        <v>0.14562954507018433</v>
      </c>
      <c r="N12" s="109" t="s">
        <v>147</v>
      </c>
      <c r="P12" s="30"/>
      <c r="Q12" s="97">
        <f>$J12*Technical!E51*365*0.9</f>
        <v>26349.889500000001</v>
      </c>
      <c r="R12" s="97">
        <f>$J12*Technical!AY31*365*0.9</f>
        <v>29449.876500000006</v>
      </c>
      <c r="S12" s="97">
        <f>$J12*Technical!BY31*365*0.9</f>
        <v>27899.883000000002</v>
      </c>
      <c r="T12" s="97">
        <f>$J12*Technical!CY31*365*0.9</f>
        <v>30999.870000000003</v>
      </c>
      <c r="U12" s="97">
        <f>$J12*Technical!DY31*365*0.9</f>
        <v>30999.870000000003</v>
      </c>
      <c r="V12" s="38"/>
      <c r="Y12" s="1">
        <v>7</v>
      </c>
      <c r="Z12" s="107">
        <v>-682503.70942502096</v>
      </c>
      <c r="AA12" s="86">
        <v>-0.1474817665045266</v>
      </c>
    </row>
    <row r="13" spans="2:27" x14ac:dyDescent="0.25">
      <c r="B13" s="51" t="s">
        <v>56</v>
      </c>
      <c r="C13" s="52"/>
      <c r="D13" s="52"/>
      <c r="E13" s="52"/>
      <c r="F13" s="52"/>
      <c r="G13" s="52"/>
      <c r="H13" s="52"/>
      <c r="I13" s="52"/>
      <c r="J13" s="53"/>
      <c r="N13" s="110" t="s">
        <v>148</v>
      </c>
      <c r="O13" s="19"/>
      <c r="P13" s="33"/>
      <c r="Q13" s="105">
        <f>$J9*Technical!E51*365*0.9</f>
        <v>189390.00654392195</v>
      </c>
      <c r="R13" s="105">
        <f>$J9*Technical!AY31*365*0.9</f>
        <v>211671.18378438341</v>
      </c>
      <c r="S13" s="105">
        <f>$J9*Technical!BY31*365*0.9</f>
        <v>200530.59516415265</v>
      </c>
      <c r="T13" s="105">
        <f>$J9*Technical!CY31*365*0.9</f>
        <v>222811.77240461405</v>
      </c>
      <c r="U13" s="105">
        <f>$J9*Technical!DY31*365*0.9</f>
        <v>222811.77240461405</v>
      </c>
      <c r="V13" s="38"/>
      <c r="Y13" s="1">
        <v>8</v>
      </c>
      <c r="Z13" s="107">
        <v>-615498.39640530956</v>
      </c>
      <c r="AA13" s="86">
        <v>-0.12404298608516429</v>
      </c>
    </row>
    <row r="14" spans="2:27" x14ac:dyDescent="0.25">
      <c r="B14" s="54" t="s">
        <v>57</v>
      </c>
      <c r="G14" s="2" t="s">
        <v>84</v>
      </c>
      <c r="J14" s="38"/>
      <c r="N14" s="37" t="s">
        <v>149</v>
      </c>
      <c r="P14" s="97"/>
      <c r="Q14" s="97">
        <f t="shared" ref="Q14:U14" si="3">Q10-Q11</f>
        <v>41594.235405678104</v>
      </c>
      <c r="R14" s="97">
        <f t="shared" si="3"/>
        <v>58533.145805216685</v>
      </c>
      <c r="S14" s="97">
        <f t="shared" si="3"/>
        <v>49678.332058247412</v>
      </c>
      <c r="T14" s="97">
        <f t="shared" si="3"/>
        <v>66607.000033242017</v>
      </c>
      <c r="U14" s="97">
        <f t="shared" si="3"/>
        <v>66337.956893007125</v>
      </c>
      <c r="V14" s="38"/>
      <c r="Y14" s="1">
        <v>9</v>
      </c>
      <c r="Z14" s="107">
        <v>-545255.7989238156</v>
      </c>
      <c r="AA14" s="86">
        <v>-0.1003477977213586</v>
      </c>
    </row>
    <row r="15" spans="2:27" x14ac:dyDescent="0.25">
      <c r="B15" s="37" t="s">
        <v>76</v>
      </c>
      <c r="D15" s="1" t="s">
        <v>79</v>
      </c>
      <c r="E15" s="20">
        <f>J15*J5*Technical!E$14</f>
        <v>2821.5</v>
      </c>
      <c r="G15" s="1" t="s">
        <v>76</v>
      </c>
      <c r="I15" s="1" t="s">
        <v>81</v>
      </c>
      <c r="J15" s="18">
        <v>25</v>
      </c>
      <c r="N15" s="111" t="s">
        <v>155</v>
      </c>
      <c r="O15" s="19"/>
      <c r="P15" s="19"/>
      <c r="Q15" s="105">
        <f>0.25*Q14</f>
        <v>10398.558851419526</v>
      </c>
      <c r="R15" s="105">
        <f t="shared" ref="R15:U15" si="4">0.25*R14</f>
        <v>14633.286451304171</v>
      </c>
      <c r="S15" s="105">
        <f t="shared" si="4"/>
        <v>12419.583014561853</v>
      </c>
      <c r="T15" s="105">
        <f t="shared" si="4"/>
        <v>16651.750008310504</v>
      </c>
      <c r="U15" s="105">
        <f t="shared" si="4"/>
        <v>16584.489223251781</v>
      </c>
      <c r="V15" s="38"/>
      <c r="Y15" s="1">
        <v>10</v>
      </c>
      <c r="Z15" s="107">
        <v>-475013.20144232176</v>
      </c>
      <c r="AA15" s="86">
        <v>-7.7646145066137207E-2</v>
      </c>
    </row>
    <row r="16" spans="2:27" x14ac:dyDescent="0.25">
      <c r="B16" s="37" t="s">
        <v>77</v>
      </c>
      <c r="D16" s="1" t="s">
        <v>79</v>
      </c>
      <c r="E16" s="20">
        <f>J16*J5*2</f>
        <v>3344</v>
      </c>
      <c r="G16" s="1" t="s">
        <v>83</v>
      </c>
      <c r="I16" s="1" t="s">
        <v>82</v>
      </c>
      <c r="J16" s="18">
        <v>400</v>
      </c>
      <c r="N16" s="100" t="s">
        <v>150</v>
      </c>
      <c r="O16" s="101"/>
      <c r="P16" s="101"/>
      <c r="Q16" s="106">
        <f>Q14-Q15</f>
        <v>31195.676554258578</v>
      </c>
      <c r="R16" s="106">
        <f t="shared" ref="R16:U16" si="5">R14-R15</f>
        <v>43899.859353912514</v>
      </c>
      <c r="S16" s="106">
        <f t="shared" si="5"/>
        <v>37258.749043685559</v>
      </c>
      <c r="T16" s="106">
        <f t="shared" si="5"/>
        <v>49955.250024931513</v>
      </c>
      <c r="U16" s="106">
        <f t="shared" si="5"/>
        <v>49753.467669755344</v>
      </c>
      <c r="V16" s="38"/>
      <c r="Y16" s="1">
        <v>11</v>
      </c>
      <c r="Z16" s="107">
        <v>-401255.63711850147</v>
      </c>
      <c r="AA16" s="86">
        <v>-5.475206949892808E-2</v>
      </c>
    </row>
    <row r="17" spans="1:27" x14ac:dyDescent="0.25">
      <c r="B17" s="37" t="s">
        <v>78</v>
      </c>
      <c r="D17" s="1" t="s">
        <v>79</v>
      </c>
      <c r="E17" s="20">
        <f>J17*J5*Technical!J24</f>
        <v>6510.768</v>
      </c>
      <c r="G17" s="1" t="s">
        <v>85</v>
      </c>
      <c r="I17" s="1" t="s">
        <v>81</v>
      </c>
      <c r="J17" s="32">
        <v>4.4000000000000004</v>
      </c>
      <c r="N17" s="37" t="s">
        <v>151</v>
      </c>
      <c r="Q17" s="97">
        <f>Q16+Q11</f>
        <v>246935.5725981805</v>
      </c>
      <c r="R17" s="97">
        <f t="shared" ref="R17:U17" si="6">R16+R11</f>
        <v>285020.91963829595</v>
      </c>
      <c r="S17" s="97">
        <f t="shared" si="6"/>
        <v>265689.22720783821</v>
      </c>
      <c r="T17" s="97">
        <f t="shared" si="6"/>
        <v>303766.89242954558</v>
      </c>
      <c r="U17" s="97">
        <f t="shared" si="6"/>
        <v>303565.11007436941</v>
      </c>
      <c r="V17" s="38"/>
      <c r="Y17" s="1">
        <v>12</v>
      </c>
      <c r="Z17" s="107">
        <v>-312547.09260060627</v>
      </c>
      <c r="AA17" s="86">
        <v>-2.7825062626916086E-2</v>
      </c>
    </row>
    <row r="18" spans="1:27" x14ac:dyDescent="0.25">
      <c r="B18" s="37" t="s">
        <v>101</v>
      </c>
      <c r="D18" s="1" t="s">
        <v>79</v>
      </c>
      <c r="E18" s="20">
        <f>($J25*Technical!J28+Technical!J27*$J26)*365*0.9</f>
        <v>103936.34880000004</v>
      </c>
      <c r="J18" s="55"/>
      <c r="N18" s="37" t="s">
        <v>152</v>
      </c>
      <c r="P18" s="30">
        <f>E9</f>
        <v>1280138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8"/>
      <c r="Y18" s="1">
        <v>13</v>
      </c>
      <c r="Z18" s="107">
        <v>-248742.91323712908</v>
      </c>
      <c r="AA18" s="86">
        <v>-1.037653757217627E-2</v>
      </c>
    </row>
    <row r="19" spans="1:27" x14ac:dyDescent="0.25">
      <c r="B19" s="56" t="s">
        <v>80</v>
      </c>
      <c r="D19" s="1" t="s">
        <v>79</v>
      </c>
      <c r="E19" s="20">
        <f>SUM(E15:E18)</f>
        <v>116612.61680000003</v>
      </c>
      <c r="J19" s="38"/>
      <c r="N19" s="39" t="s">
        <v>154</v>
      </c>
      <c r="O19" s="19"/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38"/>
      <c r="Y19" s="1">
        <v>14</v>
      </c>
      <c r="Z19" s="107">
        <v>-199889.71406772637</v>
      </c>
      <c r="AA19" s="86">
        <v>2.4125095964946386E-3</v>
      </c>
    </row>
    <row r="20" spans="1:27" x14ac:dyDescent="0.25">
      <c r="B20" s="37"/>
      <c r="J20" s="38"/>
      <c r="N20" s="37" t="s">
        <v>153</v>
      </c>
      <c r="P20" s="97">
        <f>P17-P18-P19</f>
        <v>-1280138</v>
      </c>
      <c r="Q20" s="97">
        <f t="shared" ref="Q20:U20" si="7">Q17-Q18-Q19</f>
        <v>246935.5725981805</v>
      </c>
      <c r="R20" s="97">
        <f t="shared" si="7"/>
        <v>285020.91963829595</v>
      </c>
      <c r="S20" s="97">
        <f t="shared" si="7"/>
        <v>265689.22720783821</v>
      </c>
      <c r="T20" s="97">
        <f t="shared" si="7"/>
        <v>303766.89242954558</v>
      </c>
      <c r="U20" s="97">
        <f t="shared" si="7"/>
        <v>303565.11007436941</v>
      </c>
      <c r="V20" s="38"/>
      <c r="Y20" s="1">
        <v>15</v>
      </c>
      <c r="Z20" s="107">
        <v>-163126.10490448572</v>
      </c>
      <c r="AA20" s="86">
        <v>1.1731994057059936E-2</v>
      </c>
    </row>
    <row r="21" spans="1:27" x14ac:dyDescent="0.25">
      <c r="B21" s="51" t="s">
        <v>58</v>
      </c>
      <c r="C21" s="52"/>
      <c r="D21" s="52"/>
      <c r="E21" s="52"/>
      <c r="F21" s="52"/>
      <c r="G21" s="52"/>
      <c r="H21" s="52"/>
      <c r="I21" s="52"/>
      <c r="J21" s="53"/>
      <c r="N21" s="37" t="s">
        <v>66</v>
      </c>
      <c r="P21" s="30"/>
      <c r="Q21" s="74"/>
      <c r="R21" s="74"/>
      <c r="S21" s="74"/>
      <c r="T21" s="74"/>
      <c r="U21" s="74"/>
      <c r="V21" s="38"/>
      <c r="Y21" s="1">
        <v>16</v>
      </c>
      <c r="Z21" s="107">
        <v>-126362.49574124496</v>
      </c>
      <c r="AA21" s="86">
        <v>2.1206688357433334E-2</v>
      </c>
    </row>
    <row r="22" spans="1:27" x14ac:dyDescent="0.25">
      <c r="B22" s="54" t="s">
        <v>103</v>
      </c>
      <c r="G22" s="2" t="s">
        <v>64</v>
      </c>
      <c r="J22" s="38"/>
      <c r="N22" s="75" t="s">
        <v>156</v>
      </c>
      <c r="O22" s="19"/>
      <c r="P22" s="19"/>
      <c r="Q22" s="19"/>
      <c r="R22" s="19"/>
      <c r="S22" s="19"/>
      <c r="T22" s="19"/>
      <c r="U22" s="19"/>
      <c r="V22" s="38"/>
      <c r="Y22" s="1">
        <v>17</v>
      </c>
      <c r="Z22" s="107">
        <v>-89598.88657800408</v>
      </c>
      <c r="AA22" s="86">
        <v>3.0836883244208968E-2</v>
      </c>
    </row>
    <row r="23" spans="1:27" x14ac:dyDescent="0.25">
      <c r="B23" s="37" t="s">
        <v>110</v>
      </c>
      <c r="D23" s="1" t="s">
        <v>47</v>
      </c>
      <c r="E23" s="21">
        <f>E25-E24</f>
        <v>1796139.1492800002</v>
      </c>
      <c r="G23" s="1" t="s">
        <v>63</v>
      </c>
      <c r="I23" s="1" t="s">
        <v>65</v>
      </c>
      <c r="J23" s="17">
        <v>0.52800000000000002</v>
      </c>
      <c r="N23" s="37" t="s">
        <v>92</v>
      </c>
      <c r="P23" s="30">
        <f>P20</f>
        <v>-1280138</v>
      </c>
      <c r="Q23" s="30">
        <f>Q20*(1-$V$1)^P4</f>
        <v>246935.5725981805</v>
      </c>
      <c r="R23" s="30">
        <f t="shared" ref="R23:U23" si="8">R20*(1-$V$1)^Q4</f>
        <v>262504.26698687056</v>
      </c>
      <c r="S23" s="30">
        <f t="shared" si="8"/>
        <v>225368.4957760039</v>
      </c>
      <c r="T23" s="30">
        <f t="shared" si="8"/>
        <v>237311.79752582512</v>
      </c>
      <c r="U23" s="30">
        <f t="shared" si="8"/>
        <v>218418.98053511584</v>
      </c>
      <c r="V23" s="38"/>
      <c r="Y23" s="1">
        <v>18</v>
      </c>
      <c r="Z23" s="107">
        <v>-70461.141047946381</v>
      </c>
      <c r="AA23" s="86">
        <v>3.5796377380399313E-2</v>
      </c>
    </row>
    <row r="24" spans="1:27" x14ac:dyDescent="0.25">
      <c r="B24" s="37" t="s">
        <v>60</v>
      </c>
      <c r="D24" s="1" t="s">
        <v>47</v>
      </c>
      <c r="E24" s="31">
        <f>Technical!J41*J23*J24*5</f>
        <v>67061.93471999999</v>
      </c>
      <c r="G24" s="1" t="s">
        <v>106</v>
      </c>
      <c r="I24" s="1" t="s">
        <v>6</v>
      </c>
      <c r="J24" s="14">
        <v>0.8</v>
      </c>
      <c r="N24" s="37" t="s">
        <v>91</v>
      </c>
      <c r="P24" s="30">
        <f>P23</f>
        <v>-1280138</v>
      </c>
      <c r="Q24" s="30">
        <f>P24+Q23</f>
        <v>-1033202.4274018195</v>
      </c>
      <c r="R24" s="30">
        <f>Q24+R23</f>
        <v>-770698.16041494894</v>
      </c>
      <c r="S24" s="30">
        <f>R24+S23</f>
        <v>-545329.66463894502</v>
      </c>
      <c r="T24" s="30">
        <f>S24+T23</f>
        <v>-308017.86711311992</v>
      </c>
      <c r="U24" s="30">
        <f>T24+U23</f>
        <v>-89598.88657800408</v>
      </c>
      <c r="V24" s="38"/>
    </row>
    <row r="25" spans="1:27" x14ac:dyDescent="0.25">
      <c r="B25" s="56" t="s">
        <v>62</v>
      </c>
      <c r="D25" s="1" t="s">
        <v>47</v>
      </c>
      <c r="E25" s="20">
        <f>SUM(E19*5,E9)</f>
        <v>1863201.0840000003</v>
      </c>
      <c r="G25" s="1" t="s">
        <v>190</v>
      </c>
      <c r="J25" s="17">
        <v>0.58399999999999996</v>
      </c>
      <c r="N25" s="37"/>
      <c r="V25" s="38"/>
    </row>
    <row r="26" spans="1:27" x14ac:dyDescent="0.25">
      <c r="B26" s="37"/>
      <c r="G26" s="1" t="s">
        <v>191</v>
      </c>
      <c r="J26" s="17">
        <v>0.28100000000000003</v>
      </c>
      <c r="N26" s="35" t="s">
        <v>88</v>
      </c>
      <c r="O26" s="36"/>
      <c r="P26" s="36" t="s">
        <v>47</v>
      </c>
      <c r="Q26" s="21">
        <f>SUM(P23:U23)</f>
        <v>-89598.88657800408</v>
      </c>
      <c r="R26" s="36"/>
      <c r="S26" s="36" t="s">
        <v>95</v>
      </c>
      <c r="T26" s="36"/>
      <c r="U26" s="36" t="s">
        <v>47</v>
      </c>
      <c r="V26" s="42">
        <f>SUM(Q16:U16)</f>
        <v>212063.00264654349</v>
      </c>
    </row>
    <row r="27" spans="1:27" x14ac:dyDescent="0.25">
      <c r="B27" s="54" t="s">
        <v>104</v>
      </c>
      <c r="J27" s="38"/>
      <c r="N27" s="39" t="s">
        <v>89</v>
      </c>
      <c r="O27" s="19"/>
      <c r="P27" s="19" t="s">
        <v>6</v>
      </c>
      <c r="Q27" s="76">
        <f>IRR(P20:U20)</f>
        <v>3.0836883244208968E-2</v>
      </c>
      <c r="R27" s="19"/>
      <c r="S27" s="19" t="s">
        <v>93</v>
      </c>
      <c r="T27" s="19"/>
      <c r="U27" s="19" t="s">
        <v>47</v>
      </c>
      <c r="V27" s="67">
        <f>P18</f>
        <v>1280138</v>
      </c>
    </row>
    <row r="28" spans="1:27" x14ac:dyDescent="0.25">
      <c r="B28" s="37" t="s">
        <v>105</v>
      </c>
      <c r="D28" s="1" t="s">
        <v>119</v>
      </c>
      <c r="E28" s="20">
        <f>E23/6</f>
        <v>299356.52488000004</v>
      </c>
      <c r="J28" s="38"/>
    </row>
    <row r="29" spans="1:27" x14ac:dyDescent="0.25">
      <c r="B29" s="39" t="s">
        <v>87</v>
      </c>
      <c r="C29" s="19"/>
      <c r="D29" s="19" t="s">
        <v>65</v>
      </c>
      <c r="E29" s="34">
        <f>E28/(Technical!E26*365*Technical!E51)</f>
        <v>1.6544720057389888</v>
      </c>
      <c r="F29" s="19"/>
      <c r="G29" s="19"/>
      <c r="H29" s="19"/>
      <c r="I29" s="19"/>
      <c r="J29" s="40"/>
    </row>
    <row r="30" spans="1:27" x14ac:dyDescent="0.25">
      <c r="E30" s="50"/>
    </row>
    <row r="31" spans="1:27" ht="15.75" x14ac:dyDescent="0.25">
      <c r="A31" s="1" t="s">
        <v>66</v>
      </c>
      <c r="B31" s="132" t="s">
        <v>255</v>
      </c>
      <c r="C31" s="133"/>
      <c r="D31" s="133"/>
      <c r="E31" s="133"/>
      <c r="F31" s="133"/>
      <c r="G31" s="133"/>
      <c r="H31" s="133"/>
      <c r="I31" s="133"/>
      <c r="J31" s="134"/>
    </row>
    <row r="32" spans="1:27" ht="15.75" x14ac:dyDescent="0.25">
      <c r="B32" s="51" t="s">
        <v>46</v>
      </c>
      <c r="C32" s="52"/>
      <c r="D32" s="52"/>
      <c r="E32" s="52"/>
      <c r="F32" s="52"/>
      <c r="G32" s="52"/>
      <c r="H32" s="52"/>
      <c r="I32" s="52"/>
      <c r="J32" s="53"/>
      <c r="N32" s="132" t="s">
        <v>255</v>
      </c>
      <c r="O32" s="133"/>
      <c r="P32" s="133"/>
      <c r="Q32" s="133"/>
      <c r="R32" s="133"/>
      <c r="S32" s="133"/>
      <c r="T32" s="133"/>
      <c r="U32" s="133"/>
      <c r="V32" s="134"/>
    </row>
    <row r="33" spans="2:27" x14ac:dyDescent="0.25">
      <c r="B33" s="54" t="s">
        <v>55</v>
      </c>
      <c r="G33" s="2" t="s">
        <v>51</v>
      </c>
      <c r="J33" s="38"/>
      <c r="N33" s="37" t="s">
        <v>189</v>
      </c>
      <c r="P33" s="1">
        <v>0</v>
      </c>
      <c r="Q33" s="1">
        <v>1</v>
      </c>
      <c r="R33" s="1">
        <v>2</v>
      </c>
      <c r="S33" s="1">
        <v>3</v>
      </c>
      <c r="T33" s="1">
        <v>4</v>
      </c>
      <c r="U33" s="1">
        <v>5</v>
      </c>
      <c r="V33" s="70"/>
      <c r="Y33" s="52" t="s">
        <v>36</v>
      </c>
      <c r="Z33" s="52" t="s">
        <v>258</v>
      </c>
      <c r="AA33" s="52" t="s">
        <v>259</v>
      </c>
    </row>
    <row r="34" spans="2:27" x14ac:dyDescent="0.25">
      <c r="B34" s="37" t="s">
        <v>45</v>
      </c>
      <c r="D34" s="1" t="s">
        <v>47</v>
      </c>
      <c r="E34" s="20">
        <v>89460</v>
      </c>
      <c r="G34" s="1" t="s">
        <v>52</v>
      </c>
      <c r="I34" s="1" t="s">
        <v>47</v>
      </c>
      <c r="J34" s="20">
        <v>4.18</v>
      </c>
      <c r="N34" s="71" t="s">
        <v>75</v>
      </c>
      <c r="O34" s="72"/>
      <c r="P34" s="72">
        <v>2021</v>
      </c>
      <c r="Q34" s="72">
        <v>2022</v>
      </c>
      <c r="R34" s="72">
        <v>2023</v>
      </c>
      <c r="S34" s="72">
        <v>2024</v>
      </c>
      <c r="T34" s="72">
        <v>2025</v>
      </c>
      <c r="U34" s="72">
        <v>2026</v>
      </c>
      <c r="V34" s="38"/>
      <c r="Z34" s="107">
        <f>Q55</f>
        <v>129185.71486804934</v>
      </c>
      <c r="AA34" s="86">
        <f>Q56</f>
        <v>7.894858285261952E-2</v>
      </c>
    </row>
    <row r="35" spans="2:27" x14ac:dyDescent="0.25">
      <c r="B35" s="37" t="s">
        <v>48</v>
      </c>
      <c r="D35" s="1" t="s">
        <v>47</v>
      </c>
      <c r="E35" s="20">
        <v>344443</v>
      </c>
      <c r="G35" s="2" t="s">
        <v>157</v>
      </c>
      <c r="J35" s="38"/>
      <c r="N35" s="37" t="s">
        <v>58</v>
      </c>
      <c r="P35" s="30"/>
      <c r="Q35" s="30">
        <f>SUM(Q36:Q37)</f>
        <v>373946.74824960006</v>
      </c>
      <c r="R35" s="30">
        <f t="shared" ref="R35:U35" si="9">SUM(R36:R37)</f>
        <v>416520.34824960015</v>
      </c>
      <c r="S35" s="30">
        <f t="shared" si="9"/>
        <v>395233.54824960011</v>
      </c>
      <c r="T35" s="30">
        <f t="shared" si="9"/>
        <v>437807.14824960008</v>
      </c>
      <c r="U35" s="30">
        <f t="shared" si="9"/>
        <v>437807.14824960008</v>
      </c>
      <c r="V35" s="38"/>
      <c r="Y35" s="1">
        <v>1</v>
      </c>
      <c r="Z35" s="107">
        <f t="dataTable" ref="Z35:AA52" dt2D="0" dtr="0" r1="Q2"/>
        <v>-924083.2234883213</v>
      </c>
      <c r="AA35" s="86">
        <v>-0.28468567175278636</v>
      </c>
    </row>
    <row r="36" spans="2:27" x14ac:dyDescent="0.25">
      <c r="B36" s="37" t="s">
        <v>50</v>
      </c>
      <c r="D36" s="1" t="s">
        <v>47</v>
      </c>
      <c r="E36" s="18">
        <v>633234</v>
      </c>
      <c r="G36" s="1" t="s">
        <v>165</v>
      </c>
      <c r="I36" s="1" t="s">
        <v>164</v>
      </c>
      <c r="J36" s="20">
        <f>Technical!E66*Technical!E64*(1+Technical!E65)/2</f>
        <v>2166.7700853005358</v>
      </c>
      <c r="N36" s="102" t="s">
        <v>59</v>
      </c>
      <c r="O36" s="73"/>
      <c r="P36" s="30"/>
      <c r="Q36" s="103">
        <f>$Q$1*Technical!E86*365*Technical!$E61</f>
        <v>361875.60000000003</v>
      </c>
      <c r="R36" s="103">
        <f>$Q$1*Technical!AY66*365*Technical!$E61</f>
        <v>404449.20000000013</v>
      </c>
      <c r="S36" s="103">
        <f>$Q$1*Technical!BY66*365*Technical!$E61</f>
        <v>383162.40000000008</v>
      </c>
      <c r="T36" s="103">
        <f>$Q$1*Technical!CY66*365*Technical!$E61</f>
        <v>425736.00000000006</v>
      </c>
      <c r="U36" s="103">
        <f>$Q$1*Technical!DY66*365*Technical!$E61</f>
        <v>425736.00000000006</v>
      </c>
      <c r="V36" s="38"/>
      <c r="Y36" s="1">
        <v>2</v>
      </c>
      <c r="Z36" s="107">
        <v>-856806.28007974382</v>
      </c>
      <c r="AA36" s="86">
        <v>-0.25243451096892044</v>
      </c>
    </row>
    <row r="37" spans="2:27" x14ac:dyDescent="0.25">
      <c r="B37" s="39" t="s">
        <v>49</v>
      </c>
      <c r="D37" s="1" t="s">
        <v>47</v>
      </c>
      <c r="E37" s="20">
        <v>30000</v>
      </c>
      <c r="G37" s="1" t="s">
        <v>162</v>
      </c>
      <c r="I37" s="1" t="s">
        <v>65</v>
      </c>
      <c r="J37" s="20">
        <f>E36/Technical!E58</f>
        <v>2229.6971830985917</v>
      </c>
      <c r="N37" s="102" t="s">
        <v>60</v>
      </c>
      <c r="O37" s="73"/>
      <c r="P37" s="30"/>
      <c r="Q37" s="104">
        <f>$J53*$J52*Technical!J76*Technical!$E61</f>
        <v>12071.148249600001</v>
      </c>
      <c r="R37" s="104">
        <f>$J53*$J52*Technical!AT58*Technical!$E61</f>
        <v>12071.148249600001</v>
      </c>
      <c r="S37" s="104">
        <f>$J53*$J52*Technical!BT58*Technical!$E61</f>
        <v>12071.148249600001</v>
      </c>
      <c r="T37" s="104">
        <f>$J53*$J52*Technical!CT58*Technical!$E61</f>
        <v>12071.148249600001</v>
      </c>
      <c r="U37" s="104">
        <f>$J53*$J52*Technical!DT58*Technical!$E61</f>
        <v>12071.148249600001</v>
      </c>
      <c r="V37" s="38"/>
      <c r="Y37" s="1">
        <v>3</v>
      </c>
      <c r="Z37" s="107">
        <v>-789529.33667116694</v>
      </c>
      <c r="AA37" s="86">
        <v>-0.2223806210678253</v>
      </c>
    </row>
    <row r="38" spans="2:27" x14ac:dyDescent="0.25">
      <c r="B38" s="54" t="s">
        <v>53</v>
      </c>
      <c r="D38" s="1" t="s">
        <v>47</v>
      </c>
      <c r="E38" s="20">
        <f>SUM(E34:E37)</f>
        <v>1097137</v>
      </c>
      <c r="G38" s="1" t="s">
        <v>148</v>
      </c>
      <c r="I38" s="1" t="s">
        <v>65</v>
      </c>
      <c r="J38" s="80">
        <f>J37/J36</f>
        <v>1.0290418896886919</v>
      </c>
      <c r="N38" s="39" t="s">
        <v>90</v>
      </c>
      <c r="O38" s="19"/>
      <c r="P38" s="30"/>
      <c r="Q38" s="33">
        <f>E48</f>
        <v>144596.89200000005</v>
      </c>
      <c r="R38" s="33">
        <f>1.02^Q33*SUM($E44:$E46)+($J25*Technical!AY58+Technical!AY57*$J26)*365*0.9</f>
        <v>115552.95336000004</v>
      </c>
      <c r="S38" s="33">
        <f>1.02^R33*SUM($E44:$E46)+($J25*Technical!BY58+Technical!BY57*$J26)*365*0.9</f>
        <v>115785.28545120003</v>
      </c>
      <c r="T38" s="33">
        <f>1.02^S33*SUM($E44:$E46)+($J25*Technical!CY58+Technical!CY57*$J26)*365*0.9</f>
        <v>116022.26418422404</v>
      </c>
      <c r="U38" s="33">
        <f>1.02^T33*SUM($E44:$E46)+($J25*Technical!DY58+Technical!DY57*$J26)*365*0.9</f>
        <v>116263.98249190851</v>
      </c>
      <c r="V38" s="38"/>
      <c r="Y38" s="1">
        <v>4</v>
      </c>
      <c r="Z38" s="107">
        <v>-722252.3932625897</v>
      </c>
      <c r="AA38" s="86">
        <v>-0.19410328814820998</v>
      </c>
    </row>
    <row r="39" spans="2:27" x14ac:dyDescent="0.25">
      <c r="B39" s="37"/>
      <c r="G39" s="1" t="s">
        <v>166</v>
      </c>
      <c r="I39" s="1" t="s">
        <v>14</v>
      </c>
      <c r="J39" s="20">
        <f>4*365*10*0.9*Technical!E70</f>
        <v>2365200</v>
      </c>
      <c r="N39" s="35" t="s">
        <v>86</v>
      </c>
      <c r="P39" s="41"/>
      <c r="Q39" s="41">
        <f t="shared" ref="Q39" si="10">Q35-Q38</f>
        <v>229349.85624960001</v>
      </c>
      <c r="R39" s="41">
        <f t="shared" ref="R39" si="11">R35-R38</f>
        <v>300967.39488960011</v>
      </c>
      <c r="S39" s="41">
        <f t="shared" ref="S39" si="12">S35-S38</f>
        <v>279448.26279840007</v>
      </c>
      <c r="T39" s="41">
        <f t="shared" ref="T39" si="13">T35-T38</f>
        <v>321784.88406537601</v>
      </c>
      <c r="U39" s="41">
        <f t="shared" ref="U39" si="14">U35-U38</f>
        <v>321543.1657576916</v>
      </c>
      <c r="V39" s="38"/>
      <c r="Y39" s="1">
        <v>5</v>
      </c>
      <c r="Z39" s="107">
        <v>-654975.44985401223</v>
      </c>
      <c r="AA39" s="86">
        <v>-0.16729336482103485</v>
      </c>
    </row>
    <row r="40" spans="2:27" x14ac:dyDescent="0.25">
      <c r="B40" s="37"/>
      <c r="G40" s="1" t="s">
        <v>167</v>
      </c>
      <c r="I40" s="1" t="s">
        <v>168</v>
      </c>
      <c r="J40" s="20">
        <f>E35/Technical!E70</f>
        <v>1913.5722222222223</v>
      </c>
      <c r="N40" s="95" t="s">
        <v>146</v>
      </c>
      <c r="Q40" s="107">
        <f t="shared" ref="Q40" si="15">SUM(Q41:Q42)</f>
        <v>212542.46512811462</v>
      </c>
      <c r="R40" s="107">
        <f t="shared" ref="R40" si="16">SUM(R41:R42)</f>
        <v>237547.46102553993</v>
      </c>
      <c r="S40" s="107">
        <f t="shared" ref="S40" si="17">SUM(S41:S42)</f>
        <v>225044.96307682726</v>
      </c>
      <c r="T40" s="107">
        <f t="shared" ref="T40" si="18">SUM(T41:T42)</f>
        <v>250049.95897425251</v>
      </c>
      <c r="U40" s="107">
        <f t="shared" ref="U40" si="19">SUM(U41:U42)</f>
        <v>250049.95897425251</v>
      </c>
      <c r="V40" s="38"/>
      <c r="Y40" s="1">
        <v>6</v>
      </c>
      <c r="Z40" s="107">
        <v>-587698.50644543534</v>
      </c>
      <c r="AA40" s="86">
        <v>-0.14171664455063804</v>
      </c>
    </row>
    <row r="41" spans="2:27" x14ac:dyDescent="0.25">
      <c r="B41" s="37"/>
      <c r="G41" s="1" t="s">
        <v>147</v>
      </c>
      <c r="I41" s="1" t="s">
        <v>65</v>
      </c>
      <c r="J41" s="80">
        <f>J40*Technical!E70/J39</f>
        <v>0.14562954507018433</v>
      </c>
      <c r="N41" s="98" t="s">
        <v>147</v>
      </c>
      <c r="Q41" s="97">
        <f>$J41*Technical!E86*365*0.9</f>
        <v>26349.889500000001</v>
      </c>
      <c r="R41" s="97">
        <f>$J41*Technical!AY66*365*0.9</f>
        <v>29449.876500000006</v>
      </c>
      <c r="S41" s="97">
        <f>$J41*Technical!BY66*365*0.9</f>
        <v>27899.883000000002</v>
      </c>
      <c r="T41" s="97">
        <f>$J41*Technical!CY66*365*0.9</f>
        <v>30999.870000000003</v>
      </c>
      <c r="U41" s="97">
        <f>$J41*Technical!DY66*365*0.9</f>
        <v>30999.870000000003</v>
      </c>
      <c r="V41" s="38"/>
      <c r="Y41" s="1">
        <v>7</v>
      </c>
      <c r="Z41" s="107">
        <v>-516446.17771778902</v>
      </c>
      <c r="AA41" s="86">
        <v>-0.11551388264216278</v>
      </c>
    </row>
    <row r="42" spans="2:27" x14ac:dyDescent="0.25">
      <c r="B42" s="51" t="s">
        <v>56</v>
      </c>
      <c r="C42" s="52"/>
      <c r="D42" s="52"/>
      <c r="E42" s="52"/>
      <c r="F42" s="52"/>
      <c r="G42" s="52"/>
      <c r="H42" s="52"/>
      <c r="I42" s="52"/>
      <c r="J42" s="53"/>
      <c r="N42" s="99" t="s">
        <v>148</v>
      </c>
      <c r="O42" s="19"/>
      <c r="P42" s="19"/>
      <c r="Q42" s="105">
        <f>$J38*Technical!E86*365*0.9</f>
        <v>186192.57562811463</v>
      </c>
      <c r="R42" s="105">
        <f>$J38*Technical!AY66*365*0.9</f>
        <v>208097.58452553992</v>
      </c>
      <c r="S42" s="105">
        <f>$J38*Technical!BY66*365*0.9</f>
        <v>197145.08007682726</v>
      </c>
      <c r="T42" s="105">
        <f>$J38*Technical!CY66*365*0.9</f>
        <v>219050.08897425252</v>
      </c>
      <c r="U42" s="105">
        <f>$J38*Technical!DY66*365*0.9</f>
        <v>219050.08897425252</v>
      </c>
      <c r="V42" s="38"/>
      <c r="Y42" s="1">
        <v>8</v>
      </c>
      <c r="Z42" s="107">
        <v>-445193.84899014269</v>
      </c>
      <c r="AA42" s="86">
        <v>-9.049587382349733E-2</v>
      </c>
    </row>
    <row r="43" spans="2:27" x14ac:dyDescent="0.25">
      <c r="B43" s="54" t="s">
        <v>57</v>
      </c>
      <c r="G43" s="2" t="s">
        <v>84</v>
      </c>
      <c r="J43" s="38"/>
      <c r="N43" s="37" t="s">
        <v>149</v>
      </c>
      <c r="P43" s="97"/>
      <c r="Q43" s="97">
        <f t="shared" ref="Q43:U43" si="20">Q39-Q40</f>
        <v>16807.391121485387</v>
      </c>
      <c r="R43" s="97">
        <f t="shared" si="20"/>
        <v>63419.933864060178</v>
      </c>
      <c r="S43" s="97">
        <f t="shared" si="20"/>
        <v>54403.29972157281</v>
      </c>
      <c r="T43" s="97">
        <f t="shared" si="20"/>
        <v>71734.925091123499</v>
      </c>
      <c r="U43" s="97">
        <f t="shared" si="20"/>
        <v>71493.206783439091</v>
      </c>
      <c r="V43" s="38"/>
      <c r="Y43" s="1">
        <v>9</v>
      </c>
      <c r="Z43" s="107">
        <v>-369625.14098011958</v>
      </c>
      <c r="AA43" s="86">
        <v>-6.5181320484624439E-2</v>
      </c>
    </row>
    <row r="44" spans="2:27" x14ac:dyDescent="0.25">
      <c r="B44" s="37" t="s">
        <v>76</v>
      </c>
      <c r="D44" s="1" t="s">
        <v>79</v>
      </c>
      <c r="E44" s="20">
        <f>J44*J34*Technical!E$14</f>
        <v>2821.5</v>
      </c>
      <c r="G44" s="1" t="s">
        <v>76</v>
      </c>
      <c r="I44" s="1" t="s">
        <v>81</v>
      </c>
      <c r="J44" s="20">
        <v>25</v>
      </c>
      <c r="N44" s="96" t="s">
        <v>155</v>
      </c>
      <c r="O44" s="19"/>
      <c r="P44" s="19"/>
      <c r="Q44" s="105">
        <f>0.25*Q43</f>
        <v>4201.8477803713467</v>
      </c>
      <c r="R44" s="105">
        <f t="shared" ref="R44" si="21">0.25*R43</f>
        <v>15854.983466015045</v>
      </c>
      <c r="S44" s="105">
        <f t="shared" ref="S44" si="22">0.25*S43</f>
        <v>13600.824930393203</v>
      </c>
      <c r="T44" s="105">
        <f t="shared" ref="T44" si="23">0.25*T43</f>
        <v>17933.731272780875</v>
      </c>
      <c r="U44" s="105">
        <f t="shared" ref="U44" si="24">0.25*U43</f>
        <v>17873.301695859773</v>
      </c>
      <c r="V44" s="38"/>
      <c r="Y44" s="1">
        <v>10</v>
      </c>
      <c r="Z44" s="107">
        <v>-294056.43297009653</v>
      </c>
      <c r="AA44" s="86">
        <v>-4.0881007893183829E-2</v>
      </c>
    </row>
    <row r="45" spans="2:27" x14ac:dyDescent="0.25">
      <c r="B45" s="37" t="s">
        <v>77</v>
      </c>
      <c r="D45" s="1" t="s">
        <v>79</v>
      </c>
      <c r="E45" s="20">
        <f>J45*J34*2</f>
        <v>3344</v>
      </c>
      <c r="G45" s="1" t="s">
        <v>83</v>
      </c>
      <c r="I45" s="1" t="s">
        <v>82</v>
      </c>
      <c r="J45" s="20">
        <v>400</v>
      </c>
      <c r="N45" s="100" t="s">
        <v>150</v>
      </c>
      <c r="O45" s="101"/>
      <c r="P45" s="101"/>
      <c r="Q45" s="106">
        <f>Q43-Q44</f>
        <v>12605.54334111404</v>
      </c>
      <c r="R45" s="106">
        <f t="shared" ref="R45" si="25">R43-R44</f>
        <v>47564.950398045134</v>
      </c>
      <c r="S45" s="106">
        <f t="shared" ref="S45" si="26">S43-S44</f>
        <v>40802.474791179608</v>
      </c>
      <c r="T45" s="106">
        <f t="shared" ref="T45" si="27">T43-T44</f>
        <v>53801.193818342625</v>
      </c>
      <c r="U45" s="106">
        <f t="shared" ref="U45" si="28">U43-U44</f>
        <v>53619.905087579318</v>
      </c>
      <c r="V45" s="38"/>
      <c r="Y45" s="1">
        <v>11</v>
      </c>
      <c r="Z45" s="107">
        <v>-213801.10250363834</v>
      </c>
      <c r="AA45" s="86">
        <v>-1.6314490234135226E-2</v>
      </c>
    </row>
    <row r="46" spans="2:27" x14ac:dyDescent="0.25">
      <c r="B46" s="37" t="s">
        <v>78</v>
      </c>
      <c r="D46" s="1" t="s">
        <v>79</v>
      </c>
      <c r="E46" s="20">
        <f>J46*J34*Technical!J59</f>
        <v>5223.3279999999995</v>
      </c>
      <c r="G46" s="1" t="s">
        <v>85</v>
      </c>
      <c r="I46" s="1" t="s">
        <v>81</v>
      </c>
      <c r="J46" s="80">
        <v>4.4000000000000004</v>
      </c>
      <c r="N46" s="37" t="s">
        <v>151</v>
      </c>
      <c r="Q46" s="97">
        <f>Q45+Q40</f>
        <v>225148.00846922866</v>
      </c>
      <c r="R46" s="97">
        <f t="shared" ref="R46" si="29">R45+R40</f>
        <v>285112.41142358509</v>
      </c>
      <c r="S46" s="97">
        <f t="shared" ref="S46" si="30">S45+S40</f>
        <v>265847.43786800688</v>
      </c>
      <c r="T46" s="97">
        <f t="shared" ref="T46" si="31">T45+T40</f>
        <v>303851.15279259515</v>
      </c>
      <c r="U46" s="97">
        <f t="shared" ref="U46" si="32">U45+U40</f>
        <v>303669.86406183185</v>
      </c>
      <c r="V46" s="38"/>
      <c r="Y46" s="1">
        <v>12</v>
      </c>
      <c r="Z46" s="107">
        <v>-116915.88610336545</v>
      </c>
      <c r="AA46" s="86">
        <v>1.2461356646146671E-2</v>
      </c>
    </row>
    <row r="47" spans="2:27" x14ac:dyDescent="0.25">
      <c r="B47" s="37" t="s">
        <v>101</v>
      </c>
      <c r="D47" s="1" t="s">
        <v>79</v>
      </c>
      <c r="E47" s="20">
        <f>Technical!J64*365*J52</f>
        <v>133208.06400000004</v>
      </c>
      <c r="J47" s="55"/>
      <c r="N47" s="37" t="s">
        <v>152</v>
      </c>
      <c r="P47" s="30">
        <f>E38</f>
        <v>1097137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8"/>
      <c r="Y47" s="1">
        <v>13</v>
      </c>
      <c r="Z47" s="107">
        <v>-46888.056850750581</v>
      </c>
      <c r="AA47" s="86">
        <v>3.1677819190822909E-2</v>
      </c>
    </row>
    <row r="48" spans="2:27" x14ac:dyDescent="0.25">
      <c r="B48" s="56" t="s">
        <v>80</v>
      </c>
      <c r="E48" s="20">
        <f>SUM(E44:E47)</f>
        <v>144596.89200000005</v>
      </c>
      <c r="J48" s="38"/>
      <c r="N48" s="39" t="s">
        <v>154</v>
      </c>
      <c r="O48" s="19"/>
      <c r="P48" s="19"/>
      <c r="Q48" s="19"/>
      <c r="R48" s="19"/>
      <c r="S48" s="19"/>
      <c r="T48" s="19"/>
      <c r="U48" s="19"/>
      <c r="V48" s="38"/>
      <c r="Y48" s="1">
        <v>14</v>
      </c>
      <c r="Z48" s="107">
        <v>6509.8864680493425</v>
      </c>
      <c r="AA48" s="86">
        <v>4.6069819557657876E-2</v>
      </c>
    </row>
    <row r="49" spans="2:27" x14ac:dyDescent="0.25">
      <c r="B49" s="37"/>
      <c r="J49" s="38"/>
      <c r="N49" s="37" t="s">
        <v>153</v>
      </c>
      <c r="P49" s="97">
        <f>P46-P47-P48</f>
        <v>-1097137</v>
      </c>
      <c r="Q49" s="97">
        <f t="shared" ref="Q49:U49" si="33">Q46-Q47-Q48</f>
        <v>225148.00846922866</v>
      </c>
      <c r="R49" s="97">
        <f t="shared" si="33"/>
        <v>285112.41142358509</v>
      </c>
      <c r="S49" s="97">
        <f t="shared" si="33"/>
        <v>265847.43786800688</v>
      </c>
      <c r="T49" s="97">
        <f t="shared" si="33"/>
        <v>303851.15279259515</v>
      </c>
      <c r="U49" s="97">
        <f t="shared" si="33"/>
        <v>303669.86406183185</v>
      </c>
      <c r="V49" s="38"/>
      <c r="Y49" s="1">
        <v>15</v>
      </c>
      <c r="Z49" s="107">
        <v>47401.82926804942</v>
      </c>
      <c r="AA49" s="86">
        <v>5.6833629505211869E-2</v>
      </c>
    </row>
    <row r="50" spans="2:27" x14ac:dyDescent="0.25">
      <c r="B50" s="51" t="s">
        <v>58</v>
      </c>
      <c r="C50" s="52"/>
      <c r="D50" s="52"/>
      <c r="E50" s="52"/>
      <c r="F50" s="52"/>
      <c r="G50" s="52"/>
      <c r="H50" s="52"/>
      <c r="I50" s="52"/>
      <c r="J50" s="53"/>
      <c r="N50" s="37" t="s">
        <v>66</v>
      </c>
      <c r="P50" s="30"/>
      <c r="Q50" s="74"/>
      <c r="R50" s="74"/>
      <c r="S50" s="74"/>
      <c r="T50" s="74"/>
      <c r="U50" s="74"/>
      <c r="V50" s="38"/>
      <c r="Y50" s="1">
        <v>16</v>
      </c>
      <c r="Z50" s="107">
        <v>88293.77206804938</v>
      </c>
      <c r="AA50" s="86">
        <v>6.7793117600539743E-2</v>
      </c>
    </row>
    <row r="51" spans="2:27" x14ac:dyDescent="0.25">
      <c r="B51" s="54" t="s">
        <v>103</v>
      </c>
      <c r="G51" s="2" t="s">
        <v>64</v>
      </c>
      <c r="J51" s="38"/>
      <c r="N51" s="75" t="s">
        <v>94</v>
      </c>
      <c r="O51" s="19"/>
      <c r="P51" s="19"/>
      <c r="Q51" s="19"/>
      <c r="R51" s="19"/>
      <c r="S51" s="19"/>
      <c r="T51" s="19"/>
      <c r="U51" s="19"/>
      <c r="V51" s="38"/>
      <c r="Y51" s="1">
        <v>17</v>
      </c>
      <c r="Z51" s="107">
        <v>129185.71486804934</v>
      </c>
      <c r="AA51" s="86">
        <v>7.894858285261952E-2</v>
      </c>
    </row>
    <row r="52" spans="2:27" x14ac:dyDescent="0.25">
      <c r="B52" s="37" t="s">
        <v>110</v>
      </c>
      <c r="D52" s="1" t="s">
        <v>47</v>
      </c>
      <c r="E52" s="21">
        <f>E54-E53</f>
        <v>1820121.4600000002</v>
      </c>
      <c r="G52" s="1" t="s">
        <v>63</v>
      </c>
      <c r="I52" s="1" t="s">
        <v>65</v>
      </c>
      <c r="J52" s="17">
        <v>0.52800000000000002</v>
      </c>
      <c r="N52" s="37" t="s">
        <v>92</v>
      </c>
      <c r="P52" s="30">
        <f>P49</f>
        <v>-1097137</v>
      </c>
      <c r="Q52" s="30">
        <f>Q39*(1-$V$1)^P33</f>
        <v>229349.85624960001</v>
      </c>
      <c r="R52" s="30">
        <f t="shared" ref="R52:U52" si="34">R39*(1-$V$1)^Q33</f>
        <v>277190.97069332172</v>
      </c>
      <c r="S52" s="30">
        <f t="shared" si="34"/>
        <v>237039.47388437769</v>
      </c>
      <c r="T52" s="30">
        <f t="shared" si="34"/>
        <v>251387.99242878324</v>
      </c>
      <c r="U52" s="30">
        <f t="shared" si="34"/>
        <v>231354.4216119668</v>
      </c>
      <c r="V52" s="38"/>
      <c r="Y52" s="1">
        <v>18</v>
      </c>
      <c r="Z52" s="107">
        <v>150472.51486804939</v>
      </c>
      <c r="AA52" s="86">
        <v>8.4830812670517064E-2</v>
      </c>
    </row>
    <row r="53" spans="2:27" x14ac:dyDescent="0.25">
      <c r="B53" s="37" t="s">
        <v>60</v>
      </c>
      <c r="D53" s="1" t="s">
        <v>47</v>
      </c>
      <c r="E53" s="31">
        <v>0</v>
      </c>
      <c r="G53" s="1" t="s">
        <v>106</v>
      </c>
      <c r="I53" s="1" t="s">
        <v>6</v>
      </c>
      <c r="J53" s="14">
        <v>0.8</v>
      </c>
      <c r="N53" s="37" t="s">
        <v>91</v>
      </c>
      <c r="P53" s="30">
        <f>P52</f>
        <v>-1097137</v>
      </c>
      <c r="Q53" s="30">
        <f>P53+Q52</f>
        <v>-867787.14375040005</v>
      </c>
      <c r="R53" s="30">
        <f>Q53+R52</f>
        <v>-590596.17305707838</v>
      </c>
      <c r="S53" s="30">
        <f>R53+S52</f>
        <v>-353556.6991727007</v>
      </c>
      <c r="T53" s="30">
        <f>S53+T52</f>
        <v>-102168.70674391746</v>
      </c>
      <c r="U53" s="30">
        <f>T53+U52</f>
        <v>129185.71486804934</v>
      </c>
      <c r="V53" s="38"/>
    </row>
    <row r="54" spans="2:27" x14ac:dyDescent="0.25">
      <c r="B54" s="56" t="s">
        <v>62</v>
      </c>
      <c r="D54" s="1" t="s">
        <v>47</v>
      </c>
      <c r="E54" s="20">
        <f>SUM(E48*5,E38)</f>
        <v>1820121.4600000002</v>
      </c>
      <c r="J54" s="38"/>
      <c r="N54" s="37"/>
      <c r="V54" s="38"/>
    </row>
    <row r="55" spans="2:27" x14ac:dyDescent="0.25">
      <c r="B55" s="37"/>
      <c r="J55" s="38"/>
      <c r="N55" s="35" t="s">
        <v>88</v>
      </c>
      <c r="O55" s="36"/>
      <c r="P55" s="36" t="s">
        <v>47</v>
      </c>
      <c r="Q55" s="21">
        <f>SUM(P52:U52)</f>
        <v>129185.71486804934</v>
      </c>
      <c r="R55" s="36"/>
      <c r="S55" s="36" t="s">
        <v>95</v>
      </c>
      <c r="T55" s="36"/>
      <c r="U55" s="36" t="s">
        <v>47</v>
      </c>
      <c r="V55" s="42">
        <f>SUM(Q39:U39)</f>
        <v>1453093.5637606676</v>
      </c>
    </row>
    <row r="56" spans="2:27" x14ac:dyDescent="0.25">
      <c r="B56" s="54" t="s">
        <v>104</v>
      </c>
      <c r="J56" s="38"/>
      <c r="N56" s="39" t="s">
        <v>89</v>
      </c>
      <c r="O56" s="19"/>
      <c r="P56" s="19" t="s">
        <v>6</v>
      </c>
      <c r="Q56" s="76">
        <f>IRR(P49:U49)</f>
        <v>7.894858285261952E-2</v>
      </c>
      <c r="R56" s="19"/>
      <c r="S56" s="19" t="s">
        <v>93</v>
      </c>
      <c r="T56" s="19"/>
      <c r="U56" s="19" t="s">
        <v>47</v>
      </c>
      <c r="V56" s="67">
        <f>P39</f>
        <v>0</v>
      </c>
    </row>
    <row r="57" spans="2:27" x14ac:dyDescent="0.25">
      <c r="B57" s="37" t="s">
        <v>105</v>
      </c>
      <c r="D57" s="1" t="s">
        <v>119</v>
      </c>
      <c r="E57" s="20">
        <f>E52/6</f>
        <v>303353.57666666672</v>
      </c>
      <c r="J57" s="38"/>
    </row>
    <row r="58" spans="2:27" x14ac:dyDescent="0.25">
      <c r="B58" s="39" t="s">
        <v>87</v>
      </c>
      <c r="C58" s="19"/>
      <c r="D58" s="19" t="s">
        <v>65</v>
      </c>
      <c r="E58" s="34">
        <f>E57/(Technical!E61*365*Technical!E86)</f>
        <v>1.6765627561884067</v>
      </c>
      <c r="F58" s="19"/>
      <c r="G58" s="19"/>
      <c r="H58" s="19"/>
      <c r="I58" s="19"/>
      <c r="J58" s="40"/>
    </row>
    <row r="60" spans="2:27" ht="15.75" x14ac:dyDescent="0.25">
      <c r="B60" s="132" t="s">
        <v>256</v>
      </c>
      <c r="C60" s="133"/>
      <c r="D60" s="133"/>
      <c r="E60" s="133"/>
      <c r="F60" s="133"/>
      <c r="G60" s="133"/>
      <c r="H60" s="133"/>
      <c r="I60" s="133"/>
      <c r="J60" s="134"/>
    </row>
    <row r="61" spans="2:27" ht="15.75" x14ac:dyDescent="0.25">
      <c r="B61" s="51" t="s">
        <v>46</v>
      </c>
      <c r="C61" s="52"/>
      <c r="D61" s="52"/>
      <c r="E61" s="52"/>
      <c r="F61" s="52"/>
      <c r="G61" s="52"/>
      <c r="H61" s="52"/>
      <c r="I61" s="52"/>
      <c r="J61" s="53"/>
      <c r="N61" s="132" t="s">
        <v>256</v>
      </c>
      <c r="O61" s="133"/>
      <c r="P61" s="133"/>
      <c r="Q61" s="133"/>
      <c r="R61" s="133"/>
      <c r="S61" s="133"/>
      <c r="T61" s="133"/>
      <c r="U61" s="133"/>
      <c r="V61" s="134"/>
    </row>
    <row r="62" spans="2:27" x14ac:dyDescent="0.25">
      <c r="B62" s="54" t="s">
        <v>55</v>
      </c>
      <c r="G62" s="2" t="s">
        <v>51</v>
      </c>
      <c r="J62" s="38"/>
      <c r="N62" s="37" t="s">
        <v>189</v>
      </c>
      <c r="P62" s="1">
        <v>0</v>
      </c>
      <c r="Q62" s="1">
        <v>1</v>
      </c>
      <c r="R62" s="1">
        <v>2</v>
      </c>
      <c r="S62" s="1">
        <v>3</v>
      </c>
      <c r="T62" s="1">
        <v>4</v>
      </c>
      <c r="U62" s="1">
        <v>5</v>
      </c>
      <c r="V62" s="70"/>
      <c r="Y62" s="52" t="s">
        <v>36</v>
      </c>
      <c r="Z62" s="52" t="s">
        <v>258</v>
      </c>
      <c r="AA62" s="52" t="s">
        <v>259</v>
      </c>
    </row>
    <row r="63" spans="2:27" x14ac:dyDescent="0.25">
      <c r="B63" s="37" t="s">
        <v>45</v>
      </c>
      <c r="D63" s="1" t="s">
        <v>47</v>
      </c>
      <c r="E63" s="20">
        <v>89460</v>
      </c>
      <c r="G63" s="1" t="s">
        <v>52</v>
      </c>
      <c r="I63" s="1" t="s">
        <v>47</v>
      </c>
      <c r="J63" s="20">
        <v>4.18</v>
      </c>
      <c r="N63" s="71" t="s">
        <v>75</v>
      </c>
      <c r="O63" s="72"/>
      <c r="P63" s="72">
        <v>2021</v>
      </c>
      <c r="Q63" s="72">
        <v>2022</v>
      </c>
      <c r="R63" s="72">
        <v>2023</v>
      </c>
      <c r="S63" s="72">
        <v>2024</v>
      </c>
      <c r="T63" s="72">
        <v>2025</v>
      </c>
      <c r="U63" s="72">
        <v>2026</v>
      </c>
      <c r="V63" s="38"/>
      <c r="Z63" s="107">
        <f>Q84</f>
        <v>287080.79871483485</v>
      </c>
      <c r="AA63" s="86">
        <f>Q85</f>
        <v>0.11168395273805354</v>
      </c>
    </row>
    <row r="64" spans="2:27" x14ac:dyDescent="0.25">
      <c r="B64" s="37" t="s">
        <v>48</v>
      </c>
      <c r="D64" s="1" t="s">
        <v>47</v>
      </c>
      <c r="E64" s="20">
        <v>344443</v>
      </c>
      <c r="G64" s="2" t="s">
        <v>157</v>
      </c>
      <c r="J64" s="38"/>
      <c r="N64" s="37" t="s">
        <v>58</v>
      </c>
      <c r="P64" s="30"/>
      <c r="Q64" s="30">
        <f>SUM(Q65:Q66)</f>
        <v>373946.74824960006</v>
      </c>
      <c r="R64" s="30">
        <f t="shared" ref="R64:U64" si="35">SUM(R65:R66)</f>
        <v>416520.34824960015</v>
      </c>
      <c r="S64" s="30">
        <f t="shared" si="35"/>
        <v>395233.54824960011</v>
      </c>
      <c r="T64" s="30">
        <f t="shared" si="35"/>
        <v>437807.14824960008</v>
      </c>
      <c r="U64" s="30">
        <f t="shared" si="35"/>
        <v>437807.14824960008</v>
      </c>
      <c r="V64" s="38"/>
      <c r="Y64" s="1">
        <v>1</v>
      </c>
      <c r="Z64" s="107">
        <f t="dataTable" ref="Z64:AA81" dt2D="0" dtr="0" r1="Q2" ca="1"/>
        <v>-766188.13964153582</v>
      </c>
      <c r="AA64" s="86">
        <v>-0.27470293599357598</v>
      </c>
    </row>
    <row r="65" spans="2:27" x14ac:dyDescent="0.25">
      <c r="B65" s="37" t="s">
        <v>50</v>
      </c>
      <c r="D65" s="1" t="s">
        <v>47</v>
      </c>
      <c r="E65" s="18">
        <v>472080</v>
      </c>
      <c r="G65" s="1" t="s">
        <v>165</v>
      </c>
      <c r="I65" s="1" t="s">
        <v>164</v>
      </c>
      <c r="J65" s="20">
        <f>Technical!E101*Technical!E99*(1+Technical!E100)/2</f>
        <v>2190.2222222222222</v>
      </c>
      <c r="N65" s="102" t="s">
        <v>59</v>
      </c>
      <c r="O65" s="73"/>
      <c r="P65" s="30"/>
      <c r="Q65" s="103">
        <f>$Q$1*Technical!E86*365*Technical!$E96</f>
        <v>361875.60000000003</v>
      </c>
      <c r="R65" s="103">
        <f>$Q$1*Technical!AY101*365*Technical!$E96</f>
        <v>404449.20000000013</v>
      </c>
      <c r="S65" s="103">
        <f>$Q$1*Technical!BY101*365*Technical!$E96</f>
        <v>383162.40000000008</v>
      </c>
      <c r="T65" s="103">
        <f>$Q$1*Technical!CY101*365*Technical!$E96</f>
        <v>425736.00000000006</v>
      </c>
      <c r="U65" s="103">
        <f>$Q$1*Technical!DY101*365*Technical!$E96</f>
        <v>425736.00000000006</v>
      </c>
      <c r="V65" s="38"/>
      <c r="Y65" s="1">
        <v>2</v>
      </c>
      <c r="Z65" s="107">
        <v>-698911.19623295858</v>
      </c>
      <c r="AA65" s="86">
        <v>-0.24080522534139548</v>
      </c>
    </row>
    <row r="66" spans="2:27" x14ac:dyDescent="0.25">
      <c r="B66" s="39" t="s">
        <v>49</v>
      </c>
      <c r="D66" s="1" t="s">
        <v>47</v>
      </c>
      <c r="E66" s="20">
        <v>30000</v>
      </c>
      <c r="G66" s="1" t="s">
        <v>162</v>
      </c>
      <c r="I66" s="1" t="s">
        <v>65</v>
      </c>
      <c r="J66" s="20">
        <f>E65/Technical!E93</f>
        <v>1457.037037037037</v>
      </c>
      <c r="N66" s="102" t="s">
        <v>60</v>
      </c>
      <c r="O66" s="73"/>
      <c r="P66" s="30"/>
      <c r="Q66" s="104">
        <f>$J82*$J81*Technical!J111*Technical!E96</f>
        <v>12071.148249600001</v>
      </c>
      <c r="R66" s="104">
        <f>$J82*$J81*Technical!AT93*Technical!$E96</f>
        <v>12071.148249600001</v>
      </c>
      <c r="S66" s="104">
        <f>$J82*$J81*Technical!BT93*Technical!$E96</f>
        <v>12071.148249600001</v>
      </c>
      <c r="T66" s="104">
        <f>$J82*$J81*Technical!CT93*Technical!$E96</f>
        <v>12071.148249600001</v>
      </c>
      <c r="U66" s="104">
        <f>$J82*$J81*Technical!DT93*Technical!$E96</f>
        <v>12071.148249600001</v>
      </c>
      <c r="V66" s="38"/>
      <c r="Y66" s="1">
        <v>3</v>
      </c>
      <c r="Z66" s="107">
        <v>-631634.25282438134</v>
      </c>
      <c r="AA66" s="86">
        <v>-0.20921965794107156</v>
      </c>
    </row>
    <row r="67" spans="2:27" x14ac:dyDescent="0.25">
      <c r="B67" s="54" t="s">
        <v>53</v>
      </c>
      <c r="D67" s="1" t="s">
        <v>47</v>
      </c>
      <c r="E67" s="20">
        <f>SUM(E63:E66)</f>
        <v>935983</v>
      </c>
      <c r="G67" s="1" t="s">
        <v>148</v>
      </c>
      <c r="I67" s="1" t="s">
        <v>65</v>
      </c>
      <c r="J67" s="80">
        <f>J66/J65</f>
        <v>0.66524621212121204</v>
      </c>
      <c r="N67" s="39" t="s">
        <v>90</v>
      </c>
      <c r="O67" s="19"/>
      <c r="P67" s="30"/>
      <c r="Q67" s="33">
        <f>E77</f>
        <v>145332.57200000004</v>
      </c>
      <c r="R67" s="33">
        <f>1.02*SUM($E73:$E75)+($J25*Technical!AY93+Technical!AY92*$J26)*365*0.9</f>
        <v>116303.34696000004</v>
      </c>
      <c r="S67" s="33">
        <f>1.02^R62*SUM($E73:$E75)+($J25*Technical!BY93+Technical!BY92*$J26)*365*0.9</f>
        <v>116550.68692320003</v>
      </c>
      <c r="T67" s="33">
        <f>1.02^S62*SUM($E73:$E75)+($J25*Technical!CY93+Technical!CY92*$J26)*365*0.9</f>
        <v>116802.97368566404</v>
      </c>
      <c r="U67" s="33">
        <f>1.02^T62*SUM($E73:$E75)+($J25*Technical!DY93+Technical!DY92*$J26)*365*0.9</f>
        <v>117060.30618337731</v>
      </c>
      <c r="V67" s="38"/>
      <c r="Y67" s="1">
        <v>4</v>
      </c>
      <c r="Z67" s="107">
        <v>-564357.30941580422</v>
      </c>
      <c r="AA67" s="86">
        <v>-0.17949587863265748</v>
      </c>
    </row>
    <row r="68" spans="2:27" x14ac:dyDescent="0.25">
      <c r="B68" s="37"/>
      <c r="G68" s="1" t="s">
        <v>166</v>
      </c>
      <c r="I68" s="1" t="s">
        <v>14</v>
      </c>
      <c r="J68" s="20">
        <f>4*365*10*0.9*Technical!E105</f>
        <v>2365200</v>
      </c>
      <c r="N68" s="35" t="s">
        <v>86</v>
      </c>
      <c r="P68" s="41"/>
      <c r="Q68" s="41">
        <f t="shared" ref="Q68:U68" si="36">Q64-Q67</f>
        <v>228614.17624960002</v>
      </c>
      <c r="R68" s="41">
        <f t="shared" si="36"/>
        <v>300217.0012896001</v>
      </c>
      <c r="S68" s="41">
        <f t="shared" si="36"/>
        <v>278682.86132640007</v>
      </c>
      <c r="T68" s="41">
        <f t="shared" si="36"/>
        <v>321004.17456393607</v>
      </c>
      <c r="U68" s="41">
        <f t="shared" si="36"/>
        <v>320746.8420662228</v>
      </c>
      <c r="V68" s="38"/>
      <c r="Y68" s="1">
        <v>5</v>
      </c>
      <c r="Z68" s="107">
        <v>-497080.36600722693</v>
      </c>
      <c r="AA68" s="86">
        <v>-0.15130452229100899</v>
      </c>
    </row>
    <row r="69" spans="2:27" x14ac:dyDescent="0.25">
      <c r="B69" s="37"/>
      <c r="G69" s="1" t="s">
        <v>167</v>
      </c>
      <c r="I69" s="1" t="s">
        <v>168</v>
      </c>
      <c r="J69" s="20">
        <f>E64/Technical!E105</f>
        <v>1913.5722222222223</v>
      </c>
      <c r="N69" s="95" t="s">
        <v>146</v>
      </c>
      <c r="Q69" s="107">
        <f t="shared" ref="Q69:U69" si="37">SUM(Q70:Q71)</f>
        <v>146718.07557954546</v>
      </c>
      <c r="R69" s="107">
        <f t="shared" si="37"/>
        <v>163979.02564772731</v>
      </c>
      <c r="S69" s="107">
        <f t="shared" si="37"/>
        <v>155348.55061363638</v>
      </c>
      <c r="T69" s="107">
        <f t="shared" si="37"/>
        <v>172609.5006818182</v>
      </c>
      <c r="U69" s="107">
        <f t="shared" si="37"/>
        <v>172609.5006818182</v>
      </c>
      <c r="V69" s="38"/>
      <c r="Y69" s="1">
        <v>6</v>
      </c>
      <c r="Z69" s="107">
        <v>-429803.42259864986</v>
      </c>
      <c r="AA69" s="86">
        <v>-0.12439703495504273</v>
      </c>
    </row>
    <row r="70" spans="2:27" x14ac:dyDescent="0.25">
      <c r="B70" s="37"/>
      <c r="G70" s="1" t="s">
        <v>147</v>
      </c>
      <c r="I70" s="1" t="s">
        <v>65</v>
      </c>
      <c r="J70" s="80">
        <f>J69*Technical!E105/J68</f>
        <v>0.14562954507018433</v>
      </c>
      <c r="N70" s="98" t="s">
        <v>147</v>
      </c>
      <c r="Q70" s="97">
        <f>$J70*Technical!E121*365*0.9</f>
        <v>26349.889500000001</v>
      </c>
      <c r="R70" s="97">
        <f>$J70*Technical!AY101*365*0.9</f>
        <v>29449.876500000006</v>
      </c>
      <c r="S70" s="97">
        <f>$J70*Technical!BY101*365*0.9</f>
        <v>27899.883000000002</v>
      </c>
      <c r="T70" s="97">
        <f>$J70*Technical!CY101*365*0.9</f>
        <v>30999.870000000003</v>
      </c>
      <c r="U70" s="97">
        <f>$J70*Technical!DY101*365*0.9</f>
        <v>30999.870000000003</v>
      </c>
      <c r="V70" s="38"/>
      <c r="Y70" s="1">
        <v>7</v>
      </c>
      <c r="Z70" s="107">
        <v>-358551.09387100372</v>
      </c>
      <c r="AA70" s="86">
        <v>-9.6761635125835466E-2</v>
      </c>
    </row>
    <row r="71" spans="2:27" x14ac:dyDescent="0.25">
      <c r="B71" s="51" t="s">
        <v>56</v>
      </c>
      <c r="C71" s="52"/>
      <c r="D71" s="52"/>
      <c r="E71" s="52"/>
      <c r="F71" s="52"/>
      <c r="G71" s="52"/>
      <c r="H71" s="52"/>
      <c r="I71" s="52"/>
      <c r="J71" s="53"/>
      <c r="N71" s="99" t="s">
        <v>148</v>
      </c>
      <c r="O71" s="19"/>
      <c r="P71" s="19"/>
      <c r="Q71" s="105">
        <f>$J67*Technical!E121*365*0.9</f>
        <v>120368.18607954547</v>
      </c>
      <c r="R71" s="105">
        <f>$J67*Technical!AY101*365*0.9</f>
        <v>134529.14914772729</v>
      </c>
      <c r="S71" s="105">
        <f>$J67*Technical!BY101*365*0.9</f>
        <v>127448.66761363637</v>
      </c>
      <c r="T71" s="105">
        <f>$J67*Technical!CY101*365*0.9</f>
        <v>141609.63068181821</v>
      </c>
      <c r="U71" s="105">
        <f>$J67*Technical!DY101*365*0.9</f>
        <v>141609.63068181821</v>
      </c>
      <c r="V71" s="38"/>
      <c r="Y71" s="1">
        <v>8</v>
      </c>
      <c r="Z71" s="107">
        <v>-287298.76514335745</v>
      </c>
      <c r="AA71" s="86">
        <v>-7.0374016986056387E-2</v>
      </c>
    </row>
    <row r="72" spans="2:27" x14ac:dyDescent="0.25">
      <c r="B72" s="54" t="s">
        <v>57</v>
      </c>
      <c r="G72" s="2" t="s">
        <v>84</v>
      </c>
      <c r="J72" s="38"/>
      <c r="N72" s="37" t="s">
        <v>149</v>
      </c>
      <c r="P72" s="97"/>
      <c r="Q72" s="97">
        <f t="shared" ref="Q72:U72" si="38">Q68-Q69</f>
        <v>81896.100670054555</v>
      </c>
      <c r="R72" s="97">
        <f t="shared" si="38"/>
        <v>136237.97564187279</v>
      </c>
      <c r="S72" s="97">
        <f t="shared" si="38"/>
        <v>123334.31071276369</v>
      </c>
      <c r="T72" s="97">
        <f t="shared" si="38"/>
        <v>148394.67388211787</v>
      </c>
      <c r="U72" s="97">
        <f t="shared" si="38"/>
        <v>148137.3413844046</v>
      </c>
      <c r="V72" s="38"/>
      <c r="Y72" s="1">
        <v>9</v>
      </c>
      <c r="Z72" s="107">
        <v>-211730.05713333428</v>
      </c>
      <c r="AA72" s="86">
        <v>-4.3603521578939985E-2</v>
      </c>
    </row>
    <row r="73" spans="2:27" x14ac:dyDescent="0.25">
      <c r="B73" s="37" t="s">
        <v>76</v>
      </c>
      <c r="D73" s="1" t="s">
        <v>79</v>
      </c>
      <c r="E73" s="20">
        <f>J73*J63*Technical!E$14</f>
        <v>2821.5</v>
      </c>
      <c r="G73" s="1" t="s">
        <v>76</v>
      </c>
      <c r="I73" s="1" t="s">
        <v>81</v>
      </c>
      <c r="J73" s="20">
        <v>25</v>
      </c>
      <c r="N73" s="96" t="s">
        <v>155</v>
      </c>
      <c r="O73" s="19"/>
      <c r="P73" s="19"/>
      <c r="Q73" s="105">
        <f>0.25*Q72</f>
        <v>20474.025167513639</v>
      </c>
      <c r="R73" s="105">
        <f t="shared" ref="R73:U73" si="39">0.25*R72</f>
        <v>34059.493910468198</v>
      </c>
      <c r="S73" s="105">
        <f t="shared" si="39"/>
        <v>30833.577678190923</v>
      </c>
      <c r="T73" s="105">
        <f t="shared" si="39"/>
        <v>37098.668470529468</v>
      </c>
      <c r="U73" s="105">
        <f t="shared" si="39"/>
        <v>37034.33534610115</v>
      </c>
      <c r="V73" s="38"/>
      <c r="Y73" s="1">
        <v>10</v>
      </c>
      <c r="Z73" s="107">
        <v>-136161.34912331143</v>
      </c>
      <c r="AA73" s="86">
        <v>-1.7905386704041848E-2</v>
      </c>
    </row>
    <row r="74" spans="2:27" x14ac:dyDescent="0.25">
      <c r="B74" s="37" t="s">
        <v>77</v>
      </c>
      <c r="D74" s="1" t="s">
        <v>79</v>
      </c>
      <c r="E74" s="20">
        <f>J74*J63*2</f>
        <v>3344</v>
      </c>
      <c r="G74" s="1" t="s">
        <v>83</v>
      </c>
      <c r="I74" s="1" t="s">
        <v>82</v>
      </c>
      <c r="J74" s="20">
        <v>400</v>
      </c>
      <c r="N74" s="100" t="s">
        <v>150</v>
      </c>
      <c r="O74" s="101"/>
      <c r="P74" s="101"/>
      <c r="Q74" s="106">
        <f>Q72-Q73</f>
        <v>61422.075502540916</v>
      </c>
      <c r="R74" s="106">
        <f t="shared" ref="R74:U74" si="40">R72-R73</f>
        <v>102178.48173140459</v>
      </c>
      <c r="S74" s="106">
        <f t="shared" si="40"/>
        <v>92500.733034572768</v>
      </c>
      <c r="T74" s="106">
        <f t="shared" si="40"/>
        <v>111296.00541158841</v>
      </c>
      <c r="U74" s="106">
        <f t="shared" si="40"/>
        <v>111103.00603830346</v>
      </c>
      <c r="V74" s="38"/>
      <c r="Y74" s="1">
        <v>11</v>
      </c>
      <c r="Z74" s="107">
        <v>-55906.018656853121</v>
      </c>
      <c r="AA74" s="86">
        <v>8.158173648299849E-3</v>
      </c>
    </row>
    <row r="75" spans="2:27" x14ac:dyDescent="0.25">
      <c r="B75" s="37" t="s">
        <v>78</v>
      </c>
      <c r="D75" s="1" t="s">
        <v>79</v>
      </c>
      <c r="E75" s="20">
        <f>J75*J63*Technical!E93</f>
        <v>5959.0079999999998</v>
      </c>
      <c r="G75" s="1" t="s">
        <v>85</v>
      </c>
      <c r="I75" s="1" t="s">
        <v>81</v>
      </c>
      <c r="J75" s="80">
        <v>4.4000000000000004</v>
      </c>
      <c r="N75" s="37" t="s">
        <v>151</v>
      </c>
      <c r="Q75" s="97">
        <f>Q74+Q69</f>
        <v>208140.15108208638</v>
      </c>
      <c r="R75" s="97">
        <f t="shared" ref="R75:U75" si="41">R74+R69</f>
        <v>266157.50737913192</v>
      </c>
      <c r="S75" s="97">
        <f t="shared" si="41"/>
        <v>247849.28364820915</v>
      </c>
      <c r="T75" s="97">
        <f t="shared" si="41"/>
        <v>283905.50609340658</v>
      </c>
      <c r="U75" s="97">
        <f t="shared" si="41"/>
        <v>283712.50672012166</v>
      </c>
      <c r="V75" s="38"/>
      <c r="Y75" s="1">
        <v>12</v>
      </c>
      <c r="Z75" s="107">
        <v>40979.197743420023</v>
      </c>
      <c r="AA75" s="86">
        <v>3.8597721657183559E-2</v>
      </c>
    </row>
    <row r="76" spans="2:27" x14ac:dyDescent="0.25">
      <c r="B76" s="37" t="s">
        <v>101</v>
      </c>
      <c r="D76" s="1" t="s">
        <v>79</v>
      </c>
      <c r="E76" s="20">
        <f>Technical!J99*365*J81</f>
        <v>133208.06400000004</v>
      </c>
      <c r="J76" s="55"/>
      <c r="N76" s="37" t="s">
        <v>152</v>
      </c>
      <c r="P76" s="30">
        <f>E67</f>
        <v>935983</v>
      </c>
      <c r="Q76" s="30">
        <v>0</v>
      </c>
      <c r="R76" s="30">
        <v>0</v>
      </c>
      <c r="S76" s="30">
        <v>0</v>
      </c>
      <c r="T76" s="30">
        <v>0</v>
      </c>
      <c r="U76" s="30">
        <v>0</v>
      </c>
      <c r="V76" s="38"/>
      <c r="Y76" s="1">
        <v>13</v>
      </c>
      <c r="Z76" s="107">
        <v>111007.02699603472</v>
      </c>
      <c r="AA76" s="86">
        <v>5.9314345387403211E-2</v>
      </c>
    </row>
    <row r="77" spans="2:27" x14ac:dyDescent="0.25">
      <c r="B77" s="56" t="s">
        <v>80</v>
      </c>
      <c r="E77" s="20">
        <f>SUM(E73:E76)</f>
        <v>145332.57200000004</v>
      </c>
      <c r="J77" s="38"/>
      <c r="N77" s="39" t="s">
        <v>154</v>
      </c>
      <c r="O77" s="19"/>
      <c r="P77" s="19"/>
      <c r="Q77" s="19"/>
      <c r="R77" s="19"/>
      <c r="S77" s="19"/>
      <c r="T77" s="19"/>
      <c r="U77" s="19"/>
      <c r="V77" s="38"/>
      <c r="Y77" s="1">
        <v>14</v>
      </c>
      <c r="Z77" s="107">
        <v>164404.97031483479</v>
      </c>
      <c r="AA77" s="86">
        <v>7.5017818324035979E-2</v>
      </c>
    </row>
    <row r="78" spans="2:27" x14ac:dyDescent="0.25">
      <c r="B78" s="37"/>
      <c r="J78" s="38"/>
      <c r="N78" s="37" t="s">
        <v>153</v>
      </c>
      <c r="P78" s="97">
        <f>P75-P76-P77</f>
        <v>-935983</v>
      </c>
      <c r="Q78" s="97">
        <f t="shared" ref="Q78:U78" si="42">Q75-Q76-Q77</f>
        <v>208140.15108208638</v>
      </c>
      <c r="R78" s="97">
        <f t="shared" si="42"/>
        <v>266157.50737913192</v>
      </c>
      <c r="S78" s="97">
        <f t="shared" si="42"/>
        <v>247849.28364820915</v>
      </c>
      <c r="T78" s="97">
        <f t="shared" si="42"/>
        <v>283905.50609340658</v>
      </c>
      <c r="U78" s="97">
        <f t="shared" si="42"/>
        <v>283712.50672012166</v>
      </c>
      <c r="V78" s="38"/>
      <c r="Y78" s="1">
        <v>15</v>
      </c>
      <c r="Z78" s="107">
        <v>205296.91311483475</v>
      </c>
      <c r="AA78" s="86">
        <v>8.7006644427750413E-2</v>
      </c>
    </row>
    <row r="79" spans="2:27" x14ac:dyDescent="0.25">
      <c r="B79" s="51" t="s">
        <v>58</v>
      </c>
      <c r="C79" s="52"/>
      <c r="D79" s="52"/>
      <c r="E79" s="52"/>
      <c r="F79" s="52"/>
      <c r="G79" s="52"/>
      <c r="H79" s="52"/>
      <c r="I79" s="52"/>
      <c r="J79" s="53"/>
      <c r="N79" s="37" t="s">
        <v>66</v>
      </c>
      <c r="P79" s="30"/>
      <c r="Q79" s="74"/>
      <c r="R79" s="74"/>
      <c r="S79" s="74"/>
      <c r="T79" s="74"/>
      <c r="U79" s="74"/>
      <c r="V79" s="38"/>
      <c r="Y79" s="1">
        <v>16</v>
      </c>
      <c r="Z79" s="107">
        <v>246188.85591483474</v>
      </c>
      <c r="AA79" s="86">
        <v>9.922861460856458E-2</v>
      </c>
    </row>
    <row r="80" spans="2:27" x14ac:dyDescent="0.25">
      <c r="B80" s="54" t="s">
        <v>103</v>
      </c>
      <c r="G80" s="2" t="s">
        <v>64</v>
      </c>
      <c r="J80" s="38"/>
      <c r="N80" s="75" t="s">
        <v>94</v>
      </c>
      <c r="O80" s="19"/>
      <c r="P80" s="19"/>
      <c r="Q80" s="19"/>
      <c r="R80" s="19"/>
      <c r="S80" s="19"/>
      <c r="T80" s="19"/>
      <c r="U80" s="19"/>
      <c r="V80" s="38"/>
      <c r="Y80" s="1">
        <v>17</v>
      </c>
      <c r="Z80" s="107">
        <v>287080.79871483485</v>
      </c>
      <c r="AA80" s="86">
        <v>0.11168395273805354</v>
      </c>
    </row>
    <row r="81" spans="2:31" x14ac:dyDescent="0.25">
      <c r="B81" s="37" t="s">
        <v>110</v>
      </c>
      <c r="D81" s="1" t="s">
        <v>47</v>
      </c>
      <c r="E81" s="21">
        <f>E83-E82</f>
        <v>1662645.8600000003</v>
      </c>
      <c r="G81" s="1" t="s">
        <v>63</v>
      </c>
      <c r="I81" s="1" t="s">
        <v>65</v>
      </c>
      <c r="J81" s="17">
        <v>0.52800000000000002</v>
      </c>
      <c r="N81" s="37" t="s">
        <v>92</v>
      </c>
      <c r="P81" s="30">
        <f>P78</f>
        <v>-935983</v>
      </c>
      <c r="Q81" s="30">
        <f>Q68*(1-$V$1)^P62</f>
        <v>228614.17624960002</v>
      </c>
      <c r="R81" s="30">
        <f t="shared" ref="R81" si="43">R68*(1-$V$1)^Q62</f>
        <v>276499.85818772169</v>
      </c>
      <c r="S81" s="30">
        <f t="shared" ref="S81" si="44">S68*(1-$V$1)^R62</f>
        <v>236390.22897436694</v>
      </c>
      <c r="T81" s="30">
        <f t="shared" ref="T81" si="45">T68*(1-$V$1)^S62</f>
        <v>250778.07877542099</v>
      </c>
      <c r="U81" s="30">
        <f t="shared" ref="U81" si="46">U68*(1-$V$1)^T62</f>
        <v>230781.45652772518</v>
      </c>
      <c r="V81" s="38"/>
      <c r="Y81" s="1">
        <v>18</v>
      </c>
      <c r="Z81" s="107">
        <v>308367.59871483489</v>
      </c>
      <c r="AA81" s="86">
        <v>0.11835365550526356</v>
      </c>
    </row>
    <row r="82" spans="2:31" x14ac:dyDescent="0.25">
      <c r="B82" s="37" t="s">
        <v>60</v>
      </c>
      <c r="D82" s="1" t="s">
        <v>47</v>
      </c>
      <c r="E82" s="31">
        <v>0</v>
      </c>
      <c r="G82" s="1" t="s">
        <v>106</v>
      </c>
      <c r="I82" s="1" t="s">
        <v>6</v>
      </c>
      <c r="J82" s="14">
        <v>0.8</v>
      </c>
      <c r="N82" s="37" t="s">
        <v>91</v>
      </c>
      <c r="P82" s="30">
        <f>P81</f>
        <v>-935983</v>
      </c>
      <c r="Q82" s="30">
        <f>P82+Q81</f>
        <v>-707368.82375039998</v>
      </c>
      <c r="R82" s="30">
        <f>Q82+R81</f>
        <v>-430868.96556267829</v>
      </c>
      <c r="S82" s="30">
        <f>R82+S81</f>
        <v>-194478.73658831135</v>
      </c>
      <c r="T82" s="30">
        <f>S82+T81</f>
        <v>56299.342187109636</v>
      </c>
      <c r="U82" s="30">
        <f>T82+U81</f>
        <v>287080.79871483485</v>
      </c>
      <c r="V82" s="38"/>
    </row>
    <row r="83" spans="2:31" x14ac:dyDescent="0.25">
      <c r="B83" s="56" t="s">
        <v>62</v>
      </c>
      <c r="D83" s="1" t="s">
        <v>47</v>
      </c>
      <c r="E83" s="20">
        <f>SUM(E77*5,E67)</f>
        <v>1662645.8600000003</v>
      </c>
      <c r="J83" s="38"/>
      <c r="N83" s="37"/>
      <c r="V83" s="38"/>
    </row>
    <row r="84" spans="2:31" x14ac:dyDescent="0.25">
      <c r="B84" s="37"/>
      <c r="J84" s="38"/>
      <c r="N84" s="35" t="s">
        <v>88</v>
      </c>
      <c r="O84" s="36"/>
      <c r="P84" s="36" t="s">
        <v>47</v>
      </c>
      <c r="Q84" s="21">
        <f>SUM(P81:U81)</f>
        <v>287080.79871483485</v>
      </c>
      <c r="R84" s="36"/>
      <c r="S84" s="36" t="s">
        <v>95</v>
      </c>
      <c r="T84" s="36"/>
      <c r="U84" s="36" t="s">
        <v>47</v>
      </c>
      <c r="V84" s="42">
        <f>SUM(Q68:U68)</f>
        <v>1449265.055495759</v>
      </c>
    </row>
    <row r="85" spans="2:31" x14ac:dyDescent="0.25">
      <c r="B85" s="54" t="s">
        <v>104</v>
      </c>
      <c r="J85" s="38"/>
      <c r="N85" s="39" t="s">
        <v>89</v>
      </c>
      <c r="O85" s="19"/>
      <c r="P85" s="19" t="s">
        <v>6</v>
      </c>
      <c r="Q85" s="76">
        <f>IRR(P78:U78)</f>
        <v>0.11168395273805354</v>
      </c>
      <c r="R85" s="19"/>
      <c r="S85" s="19" t="s">
        <v>93</v>
      </c>
      <c r="T85" s="19"/>
      <c r="U85" s="19" t="s">
        <v>47</v>
      </c>
      <c r="V85" s="67">
        <f>P68</f>
        <v>0</v>
      </c>
    </row>
    <row r="86" spans="2:31" x14ac:dyDescent="0.25">
      <c r="B86" s="37" t="s">
        <v>105</v>
      </c>
      <c r="D86" s="1" t="s">
        <v>119</v>
      </c>
      <c r="E86" s="20">
        <f>E81/6</f>
        <v>277107.64333333337</v>
      </c>
      <c r="J86" s="38"/>
    </row>
    <row r="87" spans="2:31" x14ac:dyDescent="0.25">
      <c r="B87" s="39" t="s">
        <v>87</v>
      </c>
      <c r="C87" s="19"/>
      <c r="D87" s="19" t="s">
        <v>65</v>
      </c>
      <c r="E87" s="34">
        <f>E86/(Technical!E96*365*Technical!E121)</f>
        <v>1.5315077520193865</v>
      </c>
      <c r="F87" s="19"/>
      <c r="G87" s="19"/>
      <c r="H87" s="19"/>
      <c r="I87" s="19"/>
      <c r="J87" s="40"/>
    </row>
    <row r="90" spans="2:31" x14ac:dyDescent="0.25">
      <c r="Z90" s="135" t="s">
        <v>258</v>
      </c>
      <c r="AA90" s="135"/>
      <c r="AB90" s="135"/>
      <c r="AC90" s="135" t="s">
        <v>259</v>
      </c>
      <c r="AD90" s="135"/>
      <c r="AE90" s="135"/>
    </row>
    <row r="91" spans="2:31" x14ac:dyDescent="0.25">
      <c r="Y91" s="52" t="s">
        <v>260</v>
      </c>
      <c r="Z91" s="52" t="s">
        <v>250</v>
      </c>
      <c r="AA91" s="52" t="s">
        <v>251</v>
      </c>
      <c r="AB91" s="52" t="s">
        <v>252</v>
      </c>
      <c r="AC91" s="52" t="s">
        <v>250</v>
      </c>
      <c r="AD91" s="52" t="s">
        <v>251</v>
      </c>
      <c r="AE91" s="52" t="s">
        <v>252</v>
      </c>
    </row>
    <row r="92" spans="2:31" x14ac:dyDescent="0.25">
      <c r="O92" s="97"/>
      <c r="P92" s="97"/>
      <c r="Q92" s="97"/>
      <c r="Y92" s="1">
        <v>1</v>
      </c>
      <c r="Z92" s="97">
        <f>Z6</f>
        <v>-1069627.8925967796</v>
      </c>
      <c r="AA92" s="97">
        <f>Z35</f>
        <v>-924083.2234883213</v>
      </c>
      <c r="AB92" s="97">
        <f>Z64</f>
        <v>-766188.13964153582</v>
      </c>
      <c r="AC92" s="87">
        <f>AA6</f>
        <v>-0.30679653460337963</v>
      </c>
      <c r="AD92" s="87">
        <f>AA35</f>
        <v>-0.28468567175278636</v>
      </c>
      <c r="AE92" s="87">
        <f>AA64</f>
        <v>-0.27470293599357598</v>
      </c>
    </row>
    <row r="93" spans="2:31" x14ac:dyDescent="0.25">
      <c r="Y93" s="1">
        <v>2</v>
      </c>
      <c r="Z93" s="97">
        <f t="shared" ref="Z93:Z109" si="47">Z7</f>
        <v>-1005604.1185663701</v>
      </c>
      <c r="AA93" s="97">
        <f t="shared" ref="AA93:AA109" si="48">Z36</f>
        <v>-856806.28007974382</v>
      </c>
      <c r="AB93" s="97">
        <f t="shared" ref="AB93:AB109" si="49">Z65</f>
        <v>-698911.19623295858</v>
      </c>
      <c r="AC93" s="87">
        <f t="shared" ref="AC93:AC109" si="50">AA7</f>
        <v>-0.27625568213601814</v>
      </c>
      <c r="AD93" s="87">
        <f t="shared" ref="AD93:AD109" si="51">AA36</f>
        <v>-0.25243451096892044</v>
      </c>
      <c r="AE93" s="87">
        <f t="shared" ref="AE93:AE109" si="52">AA65</f>
        <v>-0.24080522534139548</v>
      </c>
    </row>
    <row r="94" spans="2:31" x14ac:dyDescent="0.25">
      <c r="Y94" s="1">
        <v>3</v>
      </c>
      <c r="Z94" s="97">
        <f t="shared" si="47"/>
        <v>-941580.3445359607</v>
      </c>
      <c r="AA94" s="97">
        <f t="shared" si="48"/>
        <v>-789529.33667116694</v>
      </c>
      <c r="AB94" s="97">
        <f t="shared" si="49"/>
        <v>-631634.25282438134</v>
      </c>
      <c r="AC94" s="87">
        <f t="shared" si="50"/>
        <v>-0.24787758403936999</v>
      </c>
      <c r="AD94" s="87">
        <f t="shared" si="51"/>
        <v>-0.2223806210678253</v>
      </c>
      <c r="AE94" s="87">
        <f t="shared" si="52"/>
        <v>-0.20921965794107156</v>
      </c>
    </row>
    <row r="95" spans="2:31" x14ac:dyDescent="0.25">
      <c r="Y95" s="1">
        <v>4</v>
      </c>
      <c r="Z95" s="97">
        <f t="shared" si="47"/>
        <v>-877556.5705055513</v>
      </c>
      <c r="AA95" s="97">
        <f t="shared" si="48"/>
        <v>-722252.3932625897</v>
      </c>
      <c r="AB95" s="97">
        <f t="shared" si="49"/>
        <v>-564357.30941580422</v>
      </c>
      <c r="AC95" s="87">
        <f t="shared" si="50"/>
        <v>-0.22124704958953001</v>
      </c>
      <c r="AD95" s="87">
        <f t="shared" si="51"/>
        <v>-0.19410328814820998</v>
      </c>
      <c r="AE95" s="87">
        <f t="shared" si="52"/>
        <v>-0.17949587863265748</v>
      </c>
    </row>
    <row r="96" spans="2:31" x14ac:dyDescent="0.25">
      <c r="Y96" s="1">
        <v>5</v>
      </c>
      <c r="Z96" s="97">
        <f t="shared" si="47"/>
        <v>-813532.79647514166</v>
      </c>
      <c r="AA96" s="97">
        <f t="shared" si="48"/>
        <v>-654975.44985401223</v>
      </c>
      <c r="AB96" s="97">
        <f t="shared" si="49"/>
        <v>-497080.36600722693</v>
      </c>
      <c r="AC96" s="87">
        <f t="shared" si="50"/>
        <v>-0.1960597133255324</v>
      </c>
      <c r="AD96" s="87">
        <f t="shared" si="51"/>
        <v>-0.16729336482103485</v>
      </c>
      <c r="AE96" s="87">
        <f t="shared" si="52"/>
        <v>-0.15130452229100899</v>
      </c>
    </row>
    <row r="97" spans="25:31" x14ac:dyDescent="0.25">
      <c r="Y97" s="1">
        <v>6</v>
      </c>
      <c r="Z97" s="97">
        <f t="shared" si="47"/>
        <v>-749509.02244473225</v>
      </c>
      <c r="AA97" s="97">
        <f t="shared" si="48"/>
        <v>-587698.50644543534</v>
      </c>
      <c r="AB97" s="97">
        <f t="shared" si="49"/>
        <v>-429803.42259864986</v>
      </c>
      <c r="AC97" s="87">
        <f t="shared" si="50"/>
        <v>-0.17208541793937693</v>
      </c>
      <c r="AD97" s="87">
        <f t="shared" si="51"/>
        <v>-0.14171664455063804</v>
      </c>
      <c r="AE97" s="87">
        <f t="shared" si="52"/>
        <v>-0.12439703495504273</v>
      </c>
    </row>
    <row r="98" spans="25:31" x14ac:dyDescent="0.25">
      <c r="Y98" s="1">
        <v>7</v>
      </c>
      <c r="Z98" s="97">
        <f t="shared" si="47"/>
        <v>-682503.70942502096</v>
      </c>
      <c r="AA98" s="97">
        <f t="shared" si="48"/>
        <v>-516446.17771778902</v>
      </c>
      <c r="AB98" s="97">
        <f t="shared" si="49"/>
        <v>-358551.09387100372</v>
      </c>
      <c r="AC98" s="87">
        <f t="shared" si="50"/>
        <v>-0.1474817665045266</v>
      </c>
      <c r="AD98" s="87">
        <f t="shared" si="51"/>
        <v>-0.11551388264216278</v>
      </c>
      <c r="AE98" s="87">
        <f t="shared" si="52"/>
        <v>-9.6761635125835466E-2</v>
      </c>
    </row>
    <row r="99" spans="25:31" x14ac:dyDescent="0.25">
      <c r="Y99" s="1">
        <v>8</v>
      </c>
      <c r="Z99" s="97">
        <f t="shared" si="47"/>
        <v>-615498.39640530956</v>
      </c>
      <c r="AA99" s="97">
        <f t="shared" si="48"/>
        <v>-445193.84899014269</v>
      </c>
      <c r="AB99" s="97">
        <f t="shared" si="49"/>
        <v>-287298.76514335745</v>
      </c>
      <c r="AC99" s="87">
        <f t="shared" si="50"/>
        <v>-0.12404298608516429</v>
      </c>
      <c r="AD99" s="87">
        <f t="shared" si="51"/>
        <v>-9.049587382349733E-2</v>
      </c>
      <c r="AE99" s="87">
        <f t="shared" si="52"/>
        <v>-7.0374016986056387E-2</v>
      </c>
    </row>
    <row r="100" spans="25:31" x14ac:dyDescent="0.25">
      <c r="Y100" s="1">
        <v>9</v>
      </c>
      <c r="Z100" s="97">
        <f t="shared" si="47"/>
        <v>-545255.7989238156</v>
      </c>
      <c r="AA100" s="97">
        <f t="shared" si="48"/>
        <v>-369625.14098011958</v>
      </c>
      <c r="AB100" s="97">
        <f t="shared" si="49"/>
        <v>-211730.05713333428</v>
      </c>
      <c r="AC100" s="87">
        <f t="shared" si="50"/>
        <v>-0.1003477977213586</v>
      </c>
      <c r="AD100" s="87">
        <f t="shared" si="51"/>
        <v>-6.5181320484624439E-2</v>
      </c>
      <c r="AE100" s="87">
        <f t="shared" si="52"/>
        <v>-4.3603521578939985E-2</v>
      </c>
    </row>
    <row r="101" spans="25:31" x14ac:dyDescent="0.25">
      <c r="Y101" s="1">
        <v>10</v>
      </c>
      <c r="Z101" s="97">
        <f t="shared" si="47"/>
        <v>-475013.20144232176</v>
      </c>
      <c r="AA101" s="97">
        <f t="shared" si="48"/>
        <v>-294056.43297009653</v>
      </c>
      <c r="AB101" s="97">
        <f t="shared" si="49"/>
        <v>-136161.34912331143</v>
      </c>
      <c r="AC101" s="87">
        <f t="shared" si="50"/>
        <v>-7.7646145066137207E-2</v>
      </c>
      <c r="AD101" s="87">
        <f t="shared" si="51"/>
        <v>-4.0881007893183829E-2</v>
      </c>
      <c r="AE101" s="87">
        <f t="shared" si="52"/>
        <v>-1.7905386704041848E-2</v>
      </c>
    </row>
    <row r="102" spans="25:31" x14ac:dyDescent="0.25">
      <c r="Y102" s="1">
        <v>11</v>
      </c>
      <c r="Z102" s="97">
        <f t="shared" si="47"/>
        <v>-401255.63711850147</v>
      </c>
      <c r="AA102" s="97">
        <f t="shared" si="48"/>
        <v>-213801.10250363834</v>
      </c>
      <c r="AB102" s="97">
        <f t="shared" si="49"/>
        <v>-55906.018656853121</v>
      </c>
      <c r="AC102" s="87">
        <f t="shared" si="50"/>
        <v>-5.475206949892808E-2</v>
      </c>
      <c r="AD102" s="87">
        <f t="shared" si="51"/>
        <v>-1.6314490234135226E-2</v>
      </c>
      <c r="AE102" s="87">
        <f t="shared" si="52"/>
        <v>8.158173648299849E-3</v>
      </c>
    </row>
    <row r="103" spans="25:31" x14ac:dyDescent="0.25">
      <c r="Y103" s="1">
        <v>12</v>
      </c>
      <c r="Z103" s="97">
        <f t="shared" si="47"/>
        <v>-312547.09260060627</v>
      </c>
      <c r="AA103" s="97">
        <f t="shared" si="48"/>
        <v>-116915.88610336545</v>
      </c>
      <c r="AB103" s="97">
        <f t="shared" si="49"/>
        <v>40979.197743420023</v>
      </c>
      <c r="AC103" s="87">
        <f t="shared" si="50"/>
        <v>-2.7825062626916086E-2</v>
      </c>
      <c r="AD103" s="87">
        <f t="shared" si="51"/>
        <v>1.2461356646146671E-2</v>
      </c>
      <c r="AE103" s="87">
        <f t="shared" si="52"/>
        <v>3.8597721657183559E-2</v>
      </c>
    </row>
    <row r="104" spans="25:31" x14ac:dyDescent="0.25">
      <c r="Y104" s="1">
        <v>13</v>
      </c>
      <c r="Z104" s="97">
        <f t="shared" si="47"/>
        <v>-248742.91323712908</v>
      </c>
      <c r="AA104" s="97">
        <f t="shared" si="48"/>
        <v>-46888.056850750581</v>
      </c>
      <c r="AB104" s="97">
        <f t="shared" si="49"/>
        <v>111007.02699603472</v>
      </c>
      <c r="AC104" s="87">
        <f t="shared" si="50"/>
        <v>-1.037653757217627E-2</v>
      </c>
      <c r="AD104" s="87">
        <f t="shared" si="51"/>
        <v>3.1677819190822909E-2</v>
      </c>
      <c r="AE104" s="87">
        <f t="shared" si="52"/>
        <v>5.9314345387403211E-2</v>
      </c>
    </row>
    <row r="105" spans="25:31" x14ac:dyDescent="0.25">
      <c r="Y105" s="1">
        <v>14</v>
      </c>
      <c r="Z105" s="97">
        <f t="shared" si="47"/>
        <v>-199889.71406772637</v>
      </c>
      <c r="AA105" s="97">
        <f t="shared" si="48"/>
        <v>6509.8864680493425</v>
      </c>
      <c r="AB105" s="97">
        <f t="shared" si="49"/>
        <v>164404.97031483479</v>
      </c>
      <c r="AC105" s="87">
        <f t="shared" si="50"/>
        <v>2.4125095964946386E-3</v>
      </c>
      <c r="AD105" s="87">
        <f t="shared" si="51"/>
        <v>4.6069819557657876E-2</v>
      </c>
      <c r="AE105" s="87">
        <f t="shared" si="52"/>
        <v>7.5017818324035979E-2</v>
      </c>
    </row>
    <row r="106" spans="25:31" x14ac:dyDescent="0.25">
      <c r="Y106" s="1">
        <v>15</v>
      </c>
      <c r="Z106" s="97">
        <f t="shared" si="47"/>
        <v>-163126.10490448572</v>
      </c>
      <c r="AA106" s="97">
        <f t="shared" si="48"/>
        <v>47401.82926804942</v>
      </c>
      <c r="AB106" s="97">
        <f t="shared" si="49"/>
        <v>205296.91311483475</v>
      </c>
      <c r="AC106" s="87">
        <f t="shared" si="50"/>
        <v>1.1731994057059936E-2</v>
      </c>
      <c r="AD106" s="87">
        <f t="shared" si="51"/>
        <v>5.6833629505211869E-2</v>
      </c>
      <c r="AE106" s="87">
        <f t="shared" si="52"/>
        <v>8.7006644427750413E-2</v>
      </c>
    </row>
    <row r="107" spans="25:31" x14ac:dyDescent="0.25">
      <c r="Y107" s="1">
        <v>16</v>
      </c>
      <c r="Z107" s="97">
        <f t="shared" si="47"/>
        <v>-126362.49574124496</v>
      </c>
      <c r="AA107" s="97">
        <f t="shared" si="48"/>
        <v>88293.77206804938</v>
      </c>
      <c r="AB107" s="97">
        <f t="shared" si="49"/>
        <v>246188.85591483474</v>
      </c>
      <c r="AC107" s="87">
        <f t="shared" si="50"/>
        <v>2.1206688357433334E-2</v>
      </c>
      <c r="AD107" s="87">
        <f t="shared" si="51"/>
        <v>6.7793117600539743E-2</v>
      </c>
      <c r="AE107" s="87">
        <f t="shared" si="52"/>
        <v>9.922861460856458E-2</v>
      </c>
    </row>
    <row r="108" spans="25:31" x14ac:dyDescent="0.25">
      <c r="Y108" s="1">
        <v>17</v>
      </c>
      <c r="Z108" s="97">
        <f t="shared" si="47"/>
        <v>-89598.88657800408</v>
      </c>
      <c r="AA108" s="97">
        <f t="shared" si="48"/>
        <v>129185.71486804934</v>
      </c>
      <c r="AB108" s="97">
        <f t="shared" si="49"/>
        <v>287080.79871483485</v>
      </c>
      <c r="AC108" s="87">
        <f t="shared" si="50"/>
        <v>3.0836883244208968E-2</v>
      </c>
      <c r="AD108" s="87">
        <f t="shared" si="51"/>
        <v>7.894858285261952E-2</v>
      </c>
      <c r="AE108" s="87">
        <f t="shared" si="52"/>
        <v>0.11168395273805354</v>
      </c>
    </row>
    <row r="109" spans="25:31" x14ac:dyDescent="0.25">
      <c r="Y109" s="1">
        <v>18</v>
      </c>
      <c r="Z109" s="97">
        <f t="shared" si="47"/>
        <v>-70461.141047946381</v>
      </c>
      <c r="AA109" s="97">
        <f t="shared" si="48"/>
        <v>150472.51486804939</v>
      </c>
      <c r="AB109" s="97">
        <f t="shared" si="49"/>
        <v>308367.59871483489</v>
      </c>
      <c r="AC109" s="87">
        <f t="shared" si="50"/>
        <v>3.5796377380399313E-2</v>
      </c>
      <c r="AD109" s="87">
        <f t="shared" si="51"/>
        <v>8.4830812670517064E-2</v>
      </c>
      <c r="AE109" s="87">
        <f t="shared" si="52"/>
        <v>0.11835365550526356</v>
      </c>
    </row>
  </sheetData>
  <scenarios current="2" show="0" sqref="Q6:U6 Q9:U9 Q11:U11 Q33:U33 Q36:U36 Q38:U38">
    <scenario name="Low" locked="1" count="1" user="Jun Jie" comment="Created by Jun Jie on 10/18/2021">
      <inputCells r="Q2" val="2" numFmtId="1"/>
    </scenario>
    <scenario name="Med" locked="1" count="1" user="Jun Jie" comment="Created by Jun Jie on 10/18/2021">
      <inputCells r="Q2" val="8" numFmtId="1"/>
    </scenario>
    <scenario name="High" locked="1" count="1" user="Jun Jie" comment="Created by Jun Jie on 10/18/2021">
      <inputCells r="Q2" val="14" numFmtId="1"/>
    </scenario>
  </scenarios>
  <mergeCells count="8">
    <mergeCell ref="N61:V61"/>
    <mergeCell ref="Z90:AB90"/>
    <mergeCell ref="AC90:AE90"/>
    <mergeCell ref="B2:J2"/>
    <mergeCell ref="N3:V3"/>
    <mergeCell ref="N32:V32"/>
    <mergeCell ref="B31:J31"/>
    <mergeCell ref="B60:J60"/>
  </mergeCells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3DF2-5E8E-4F26-8DCF-E1598ADD7CA3}">
  <sheetPr>
    <outlinePr summaryBelow="0"/>
  </sheetPr>
  <dimension ref="B1:G12"/>
  <sheetViews>
    <sheetView showGridLines="0" zoomScale="85" zoomScaleNormal="85" workbookViewId="0">
      <selection activeCell="D19" sqref="D19"/>
    </sheetView>
  </sheetViews>
  <sheetFormatPr defaultRowHeight="15" outlineLevelRow="1" outlineLevelCol="1" x14ac:dyDescent="0.25"/>
  <cols>
    <col min="3" max="3" width="40.140625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118" t="s">
        <v>200</v>
      </c>
      <c r="C2" s="118"/>
      <c r="D2" s="123"/>
      <c r="E2" s="123"/>
      <c r="F2" s="123"/>
      <c r="G2" s="123"/>
    </row>
    <row r="3" spans="2:7" ht="15.75" collapsed="1" x14ac:dyDescent="0.25">
      <c r="B3" s="117"/>
      <c r="C3" s="117"/>
      <c r="D3" s="124" t="s">
        <v>202</v>
      </c>
      <c r="E3" s="124" t="s">
        <v>196</v>
      </c>
      <c r="F3" s="124" t="s">
        <v>198</v>
      </c>
      <c r="G3" s="124" t="s">
        <v>199</v>
      </c>
    </row>
    <row r="4" spans="2:7" ht="22.5" hidden="1" outlineLevel="1" x14ac:dyDescent="0.25">
      <c r="B4" s="120"/>
      <c r="C4" s="120"/>
      <c r="E4" s="126" t="s">
        <v>197</v>
      </c>
      <c r="F4" s="126" t="s">
        <v>197</v>
      </c>
      <c r="G4" s="126" t="s">
        <v>197</v>
      </c>
    </row>
    <row r="5" spans="2:7" x14ac:dyDescent="0.25">
      <c r="B5" s="121" t="s">
        <v>201</v>
      </c>
      <c r="C5" s="121"/>
      <c r="D5" s="119"/>
      <c r="E5" s="119"/>
      <c r="F5" s="119"/>
      <c r="G5" s="119"/>
    </row>
    <row r="6" spans="2:7" outlineLevel="1" x14ac:dyDescent="0.25">
      <c r="B6" s="120"/>
      <c r="C6" s="120" t="s">
        <v>240</v>
      </c>
      <c r="D6" s="114">
        <v>2</v>
      </c>
      <c r="E6" s="125">
        <v>2</v>
      </c>
      <c r="F6" s="125">
        <v>8</v>
      </c>
      <c r="G6" s="125">
        <v>14</v>
      </c>
    </row>
    <row r="7" spans="2:7" x14ac:dyDescent="0.25">
      <c r="B7" s="121" t="s">
        <v>203</v>
      </c>
      <c r="C7" s="121"/>
      <c r="D7" s="119"/>
      <c r="E7" s="119"/>
      <c r="F7" s="119"/>
      <c r="G7" s="119"/>
    </row>
    <row r="8" spans="2:7" outlineLevel="1" x14ac:dyDescent="0.25">
      <c r="B8" s="120"/>
      <c r="C8" s="120" t="s">
        <v>182</v>
      </c>
      <c r="D8" s="115">
        <v>-442884.24787864101</v>
      </c>
      <c r="E8" s="115">
        <v>-442884.24787864101</v>
      </c>
      <c r="F8" s="115">
        <v>366728.47822994099</v>
      </c>
      <c r="G8" s="115">
        <v>949874.03515924199</v>
      </c>
    </row>
    <row r="9" spans="2:7" ht="15.75" outlineLevel="1" thickBot="1" x14ac:dyDescent="0.3">
      <c r="B9" s="122"/>
      <c r="C9" s="122" t="s">
        <v>183</v>
      </c>
      <c r="D9" s="116">
        <v>-25760.999862768302</v>
      </c>
      <c r="E9" s="116">
        <v>-25760.999862768302</v>
      </c>
      <c r="F9" s="116">
        <v>1675328.4175970501</v>
      </c>
      <c r="G9" s="116">
        <v>2671231.4949870599</v>
      </c>
    </row>
    <row r="10" spans="2:7" x14ac:dyDescent="0.25">
      <c r="B10" t="s">
        <v>204</v>
      </c>
    </row>
    <row r="11" spans="2:7" x14ac:dyDescent="0.25">
      <c r="B11" t="s">
        <v>205</v>
      </c>
    </row>
    <row r="12" spans="2:7" x14ac:dyDescent="0.25">
      <c r="B12" t="s">
        <v>206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56AC8-45FF-437E-A92A-0AC75B0ACE13}">
  <sheetPr>
    <outlinePr summaryBelow="0"/>
  </sheetPr>
  <dimension ref="B1:W40"/>
  <sheetViews>
    <sheetView showGridLines="0" topLeftCell="E3" workbookViewId="0">
      <selection activeCell="P12" sqref="P12"/>
    </sheetView>
  </sheetViews>
  <sheetFormatPr defaultRowHeight="15" outlineLevelRow="1" outlineLevelCol="1" x14ac:dyDescent="0.25"/>
  <cols>
    <col min="3" max="3" width="6.42578125" bestFit="1" customWidth="1"/>
    <col min="4" max="7" width="13.140625" bestFit="1" customWidth="1" outlineLevel="1"/>
    <col min="10" max="10" width="10.5703125" customWidth="1"/>
    <col min="11" max="15" width="10.5703125" bestFit="1" customWidth="1"/>
    <col min="19" max="23" width="10.5703125" bestFit="1" customWidth="1"/>
  </cols>
  <sheetData>
    <row r="1" spans="2:23" ht="15.75" thickBot="1" x14ac:dyDescent="0.3"/>
    <row r="2" spans="2:23" ht="15.75" x14ac:dyDescent="0.25">
      <c r="B2" s="118" t="s">
        <v>200</v>
      </c>
      <c r="C2" s="118"/>
      <c r="D2" s="123"/>
      <c r="E2" s="123"/>
      <c r="F2" s="123"/>
      <c r="G2" s="123"/>
    </row>
    <row r="3" spans="2:23" ht="15.75" collapsed="1" x14ac:dyDescent="0.25">
      <c r="B3" s="117"/>
      <c r="C3" s="117"/>
      <c r="D3" s="124" t="s">
        <v>202</v>
      </c>
      <c r="E3" s="124" t="s">
        <v>196</v>
      </c>
      <c r="F3" s="124" t="s">
        <v>198</v>
      </c>
      <c r="G3" s="124" t="s">
        <v>199</v>
      </c>
    </row>
    <row r="4" spans="2:23" ht="22.5" hidden="1" outlineLevel="1" x14ac:dyDescent="0.25">
      <c r="B4" s="120"/>
      <c r="C4" s="120"/>
      <c r="E4" s="126" t="s">
        <v>197</v>
      </c>
      <c r="F4" s="126" t="s">
        <v>197</v>
      </c>
      <c r="G4" s="126" t="s">
        <v>197</v>
      </c>
    </row>
    <row r="5" spans="2:23" x14ac:dyDescent="0.25">
      <c r="B5" s="121" t="s">
        <v>201</v>
      </c>
      <c r="C5" s="121"/>
      <c r="D5" s="119"/>
      <c r="E5" s="119"/>
      <c r="F5" s="119"/>
      <c r="G5" s="119"/>
      <c r="J5" t="s">
        <v>237</v>
      </c>
      <c r="R5" t="s">
        <v>239</v>
      </c>
    </row>
    <row r="6" spans="2:23" outlineLevel="1" x14ac:dyDescent="0.25">
      <c r="B6" s="120"/>
      <c r="C6" s="120" t="s">
        <v>195</v>
      </c>
      <c r="D6" s="114">
        <v>2</v>
      </c>
      <c r="E6" s="125">
        <v>2</v>
      </c>
      <c r="F6" s="125">
        <v>8</v>
      </c>
      <c r="G6" s="125">
        <v>14</v>
      </c>
      <c r="K6">
        <v>2022</v>
      </c>
      <c r="L6">
        <v>2023</v>
      </c>
      <c r="M6">
        <v>2024</v>
      </c>
      <c r="N6">
        <v>2025</v>
      </c>
      <c r="O6">
        <v>2026</v>
      </c>
      <c r="S6">
        <v>2022</v>
      </c>
      <c r="T6">
        <v>2023</v>
      </c>
      <c r="U6">
        <v>2024</v>
      </c>
      <c r="V6">
        <v>2025</v>
      </c>
      <c r="W6">
        <v>2026</v>
      </c>
    </row>
    <row r="7" spans="2:23" x14ac:dyDescent="0.25">
      <c r="B7" s="121" t="s">
        <v>203</v>
      </c>
      <c r="C7" s="121"/>
      <c r="D7" s="119"/>
      <c r="E7" s="119"/>
      <c r="F7" s="119"/>
      <c r="G7" s="119"/>
      <c r="I7" t="s">
        <v>58</v>
      </c>
      <c r="J7" s="124" t="s">
        <v>196</v>
      </c>
      <c r="K7" s="115">
        <v>156103.20000000001</v>
      </c>
      <c r="L7" s="115">
        <v>312206.40000000002</v>
      </c>
      <c r="M7" s="115">
        <v>390258</v>
      </c>
      <c r="N7" s="115">
        <v>468309.6</v>
      </c>
      <c r="O7" s="115">
        <v>546361.19999999995</v>
      </c>
      <c r="Q7" t="s">
        <v>58</v>
      </c>
      <c r="R7" s="124" t="s">
        <v>196</v>
      </c>
      <c r="S7" s="115">
        <v>157516.80031509401</v>
      </c>
      <c r="T7" s="115">
        <v>312206.40000000002</v>
      </c>
      <c r="U7" s="115">
        <v>468309.6</v>
      </c>
      <c r="V7" s="115">
        <v>624412.80000000005</v>
      </c>
      <c r="W7" s="115">
        <v>780516</v>
      </c>
    </row>
    <row r="8" spans="2:23" outlineLevel="1" x14ac:dyDescent="0.25">
      <c r="B8" s="120"/>
      <c r="C8" s="120" t="s">
        <v>207</v>
      </c>
      <c r="D8" s="115">
        <v>156103.20000000001</v>
      </c>
      <c r="E8" s="115">
        <v>156103.20000000001</v>
      </c>
      <c r="F8" s="115">
        <v>468309.6</v>
      </c>
      <c r="G8" s="115">
        <v>702464.4</v>
      </c>
      <c r="I8" t="s">
        <v>58</v>
      </c>
      <c r="J8" s="124" t="s">
        <v>198</v>
      </c>
      <c r="K8" s="115">
        <v>468309.6</v>
      </c>
      <c r="L8" s="115">
        <v>546361.19999999995</v>
      </c>
      <c r="M8" s="115">
        <v>624412.80000000005</v>
      </c>
      <c r="N8" s="115">
        <v>702464.4</v>
      </c>
      <c r="O8" s="115">
        <v>702464.4</v>
      </c>
      <c r="Q8" t="s">
        <v>58</v>
      </c>
      <c r="R8" s="124" t="s">
        <v>198</v>
      </c>
      <c r="S8" s="115">
        <v>624412.80000000005</v>
      </c>
      <c r="T8" s="115">
        <v>780516</v>
      </c>
      <c r="U8" s="115">
        <v>936619.2</v>
      </c>
      <c r="V8" s="115">
        <v>1092722.3999999999</v>
      </c>
      <c r="W8" s="115">
        <v>1092722.3999999999</v>
      </c>
    </row>
    <row r="9" spans="2:23" outlineLevel="1" x14ac:dyDescent="0.25">
      <c r="B9" s="120"/>
      <c r="C9" s="120" t="s">
        <v>208</v>
      </c>
      <c r="D9" s="115">
        <v>312206.40000000002</v>
      </c>
      <c r="E9" s="115">
        <v>312206.40000000002</v>
      </c>
      <c r="F9" s="115">
        <v>546361.19999999995</v>
      </c>
      <c r="G9" s="115">
        <v>702464.4</v>
      </c>
      <c r="I9" t="s">
        <v>58</v>
      </c>
      <c r="J9" s="124" t="s">
        <v>199</v>
      </c>
      <c r="K9" s="115">
        <v>702464.4</v>
      </c>
      <c r="L9" s="115">
        <v>702464.4</v>
      </c>
      <c r="M9" s="115">
        <v>780516</v>
      </c>
      <c r="N9" s="115">
        <v>858567.6</v>
      </c>
      <c r="O9" s="115">
        <v>858567.6</v>
      </c>
      <c r="Q9" t="s">
        <v>58</v>
      </c>
      <c r="R9" s="124" t="s">
        <v>199</v>
      </c>
      <c r="S9" s="115">
        <v>1092722.3999999999</v>
      </c>
      <c r="T9" s="115">
        <v>1092722.3999999999</v>
      </c>
      <c r="U9" s="115">
        <v>1170774</v>
      </c>
      <c r="V9" s="115">
        <v>1170774</v>
      </c>
      <c r="W9" s="115">
        <v>1170774</v>
      </c>
    </row>
    <row r="10" spans="2:23" outlineLevel="1" x14ac:dyDescent="0.25">
      <c r="B10" s="120"/>
      <c r="C10" s="120" t="s">
        <v>209</v>
      </c>
      <c r="D10" s="115">
        <v>390258</v>
      </c>
      <c r="E10" s="115">
        <v>390258</v>
      </c>
      <c r="F10" s="115">
        <v>624412.80000000005</v>
      </c>
      <c r="G10" s="115">
        <v>780516</v>
      </c>
      <c r="I10" t="s">
        <v>238</v>
      </c>
      <c r="J10" s="124" t="s">
        <v>196</v>
      </c>
      <c r="K10" s="115">
        <v>38301.789279999997</v>
      </c>
      <c r="L10" s="115">
        <v>38536.128105600001</v>
      </c>
      <c r="M10" s="115">
        <v>44061.235305599999</v>
      </c>
      <c r="N10" s="115">
        <v>49586.342505599998</v>
      </c>
      <c r="O10" s="115">
        <v>55111.449705599996</v>
      </c>
      <c r="Q10" t="s">
        <v>238</v>
      </c>
      <c r="R10" s="124" t="s">
        <v>196</v>
      </c>
      <c r="S10" s="115">
        <v>67584.444490964393</v>
      </c>
      <c r="T10" s="115">
        <v>58009.641612599997</v>
      </c>
      <c r="U10" s="115">
        <v>72515.886252600001</v>
      </c>
      <c r="V10" s="115">
        <v>87022.130892600006</v>
      </c>
      <c r="W10" s="115">
        <v>101528.3755326</v>
      </c>
    </row>
    <row r="11" spans="2:23" outlineLevel="1" x14ac:dyDescent="0.25">
      <c r="B11" s="120"/>
      <c r="C11" s="120" t="s">
        <v>210</v>
      </c>
      <c r="D11" s="115">
        <v>468309.6</v>
      </c>
      <c r="E11" s="115">
        <v>468309.6</v>
      </c>
      <c r="F11" s="115">
        <v>702464.4</v>
      </c>
      <c r="G11" s="115">
        <v>858567.6</v>
      </c>
      <c r="I11" t="s">
        <v>238</v>
      </c>
      <c r="J11" s="124" t="s">
        <v>198</v>
      </c>
      <c r="K11" s="115">
        <v>49352.003680000002</v>
      </c>
      <c r="L11" s="115">
        <v>55111.449705599996</v>
      </c>
      <c r="M11" s="115">
        <v>60636.556905600002</v>
      </c>
      <c r="N11" s="115">
        <v>66161.664105599993</v>
      </c>
      <c r="O11" s="115">
        <v>77211.878505600005</v>
      </c>
      <c r="Q11" t="s">
        <v>238</v>
      </c>
      <c r="R11" s="124" t="s">
        <v>198</v>
      </c>
      <c r="S11" s="115">
        <v>120569.43712</v>
      </c>
      <c r="T11" s="115">
        <v>101528.3755326</v>
      </c>
      <c r="U11" s="115">
        <v>116034.6201726</v>
      </c>
      <c r="V11" s="115">
        <v>130540.8648126</v>
      </c>
      <c r="W11" s="115">
        <v>130540.8648126</v>
      </c>
    </row>
    <row r="12" spans="2:23" outlineLevel="1" x14ac:dyDescent="0.25">
      <c r="B12" s="120"/>
      <c r="C12" s="120" t="s">
        <v>211</v>
      </c>
      <c r="D12" s="115">
        <v>546361.19999999995</v>
      </c>
      <c r="E12" s="115">
        <v>546361.19999999995</v>
      </c>
      <c r="F12" s="115">
        <v>702464.4</v>
      </c>
      <c r="G12" s="115">
        <v>858567.6</v>
      </c>
      <c r="I12" t="s">
        <v>238</v>
      </c>
      <c r="J12" s="124" t="s">
        <v>199</v>
      </c>
      <c r="K12" s="115">
        <v>65927.325280000005</v>
      </c>
      <c r="L12" s="115">
        <v>77211.878505600005</v>
      </c>
      <c r="M12" s="115">
        <v>77211.878505600005</v>
      </c>
      <c r="N12" s="115">
        <v>77211.878505600005</v>
      </c>
      <c r="O12" s="115">
        <v>77211.878505600005</v>
      </c>
      <c r="Q12" t="s">
        <v>238</v>
      </c>
      <c r="R12" s="124" t="s">
        <v>199</v>
      </c>
      <c r="S12" s="115">
        <v>175517.76352000001</v>
      </c>
      <c r="T12" s="115">
        <v>130540.8648126</v>
      </c>
      <c r="U12" s="115">
        <v>134927.36473259999</v>
      </c>
      <c r="V12" s="115">
        <v>115887.6289056</v>
      </c>
      <c r="W12" s="115">
        <v>115887.6289056</v>
      </c>
    </row>
    <row r="13" spans="2:23" outlineLevel="1" x14ac:dyDescent="0.25">
      <c r="B13" s="120"/>
      <c r="C13" s="120" t="s">
        <v>212</v>
      </c>
      <c r="D13" s="115">
        <v>38301.789279999997</v>
      </c>
      <c r="E13" s="115">
        <v>38301.789279999997</v>
      </c>
      <c r="F13" s="115">
        <v>49352.003680000002</v>
      </c>
      <c r="G13" s="115">
        <v>65927.325280000005</v>
      </c>
      <c r="I13" t="s">
        <v>157</v>
      </c>
      <c r="J13" s="124" t="s">
        <v>196</v>
      </c>
      <c r="K13" s="115">
        <v>58201.533799685603</v>
      </c>
      <c r="L13" s="115">
        <v>116403.067599371</v>
      </c>
      <c r="M13" s="115">
        <v>145503.83449921399</v>
      </c>
      <c r="N13" s="115">
        <v>174604.60139905699</v>
      </c>
      <c r="O13" s="115">
        <v>203705.368298899</v>
      </c>
      <c r="Q13" t="s">
        <v>157</v>
      </c>
      <c r="R13" s="124" t="s">
        <v>196</v>
      </c>
      <c r="S13" s="115">
        <v>58201.533799685603</v>
      </c>
      <c r="T13" s="115">
        <v>116403.067599371</v>
      </c>
      <c r="U13" s="115">
        <v>174604.60139905699</v>
      </c>
      <c r="V13" s="115">
        <v>232806.13519874201</v>
      </c>
      <c r="W13" s="115">
        <v>291007.66899842798</v>
      </c>
    </row>
    <row r="14" spans="2:23" outlineLevel="1" x14ac:dyDescent="0.25">
      <c r="B14" s="120"/>
      <c r="C14" s="120" t="s">
        <v>213</v>
      </c>
      <c r="D14" s="115">
        <v>38536.128105600001</v>
      </c>
      <c r="E14" s="115">
        <v>38536.128105600001</v>
      </c>
      <c r="F14" s="115">
        <v>55111.449705599996</v>
      </c>
      <c r="G14" s="115">
        <v>77211.878505600005</v>
      </c>
      <c r="I14" t="s">
        <v>157</v>
      </c>
      <c r="J14" s="124" t="s">
        <v>198</v>
      </c>
      <c r="K14" s="115">
        <v>174604.60139905699</v>
      </c>
      <c r="L14" s="115">
        <v>203705.368298899</v>
      </c>
      <c r="M14" s="115">
        <v>232806.13519874201</v>
      </c>
      <c r="N14" s="115">
        <v>261906.90209858501</v>
      </c>
      <c r="O14" s="115">
        <v>261906.90209858501</v>
      </c>
      <c r="Q14" t="s">
        <v>157</v>
      </c>
      <c r="R14" s="124" t="s">
        <v>198</v>
      </c>
      <c r="S14" s="115">
        <v>232806.13519874201</v>
      </c>
      <c r="T14" s="115">
        <v>291007.66899842798</v>
      </c>
      <c r="U14" s="115">
        <v>349209.20279811299</v>
      </c>
      <c r="V14" s="115">
        <v>407410.736597799</v>
      </c>
      <c r="W14" s="115">
        <v>407410.736597799</v>
      </c>
    </row>
    <row r="15" spans="2:23" outlineLevel="1" x14ac:dyDescent="0.25">
      <c r="B15" s="120"/>
      <c r="C15" s="120" t="s">
        <v>214</v>
      </c>
      <c r="D15" s="115">
        <v>44061.235305599999</v>
      </c>
      <c r="E15" s="115">
        <v>44061.235305599999</v>
      </c>
      <c r="F15" s="115">
        <v>60636.556905600002</v>
      </c>
      <c r="G15" s="115">
        <v>77211.878505600005</v>
      </c>
      <c r="I15" t="s">
        <v>157</v>
      </c>
      <c r="J15" s="124" t="s">
        <v>199</v>
      </c>
      <c r="K15" s="115">
        <v>261906.90209858501</v>
      </c>
      <c r="L15" s="115">
        <v>261906.90209858501</v>
      </c>
      <c r="M15" s="115">
        <v>291007.66899842798</v>
      </c>
      <c r="N15" s="115">
        <v>320108.43589827098</v>
      </c>
      <c r="O15" s="115">
        <v>320108.43589827098</v>
      </c>
      <c r="Q15" t="s">
        <v>157</v>
      </c>
      <c r="R15" s="124" t="s">
        <v>199</v>
      </c>
      <c r="S15" s="115">
        <v>407410.736597799</v>
      </c>
      <c r="T15" s="115">
        <v>407410.736597799</v>
      </c>
      <c r="U15" s="115">
        <v>436511.503497642</v>
      </c>
      <c r="V15" s="115">
        <v>436511.503497642</v>
      </c>
      <c r="W15" s="115">
        <v>436511.503497642</v>
      </c>
    </row>
    <row r="16" spans="2:23" outlineLevel="1" x14ac:dyDescent="0.25">
      <c r="B16" s="120"/>
      <c r="C16" s="120" t="s">
        <v>215</v>
      </c>
      <c r="D16" s="115">
        <v>49586.342505599998</v>
      </c>
      <c r="E16" s="115">
        <v>49586.342505599998</v>
      </c>
      <c r="F16" s="115">
        <v>66161.664105599993</v>
      </c>
      <c r="G16" s="115">
        <v>77211.878505600005</v>
      </c>
      <c r="W16" s="115"/>
    </row>
    <row r="17" spans="2:15" outlineLevel="1" x14ac:dyDescent="0.25">
      <c r="B17" s="120"/>
      <c r="C17" s="120" t="s">
        <v>216</v>
      </c>
      <c r="D17" s="115">
        <v>55111.449705599996</v>
      </c>
      <c r="E17" s="115">
        <v>55111.449705599996</v>
      </c>
      <c r="F17" s="115">
        <v>77211.878505600005</v>
      </c>
      <c r="G17" s="115">
        <v>77211.878505600005</v>
      </c>
    </row>
    <row r="18" spans="2:15" outlineLevel="1" x14ac:dyDescent="0.25">
      <c r="B18" s="120"/>
      <c r="C18" s="120" t="s">
        <v>217</v>
      </c>
      <c r="D18" s="115">
        <v>58201.533799685603</v>
      </c>
      <c r="E18" s="115">
        <v>58201.533799685603</v>
      </c>
      <c r="F18" s="115">
        <v>174604.60139905699</v>
      </c>
      <c r="G18" s="115">
        <v>261906.90209858501</v>
      </c>
      <c r="J18" s="127" t="s">
        <v>241</v>
      </c>
    </row>
    <row r="19" spans="2:15" outlineLevel="1" x14ac:dyDescent="0.25">
      <c r="B19" s="120"/>
      <c r="C19" s="120" t="s">
        <v>218</v>
      </c>
      <c r="D19" s="115">
        <v>116403.067599371</v>
      </c>
      <c r="E19" s="115">
        <v>116403.067599371</v>
      </c>
      <c r="F19" s="115">
        <v>203705.368298899</v>
      </c>
      <c r="G19" s="115">
        <v>261906.90209858501</v>
      </c>
      <c r="J19" s="128" t="s">
        <v>58</v>
      </c>
      <c r="K19">
        <v>2022</v>
      </c>
      <c r="L19">
        <v>2023</v>
      </c>
      <c r="M19">
        <v>2024</v>
      </c>
      <c r="N19">
        <v>2025</v>
      </c>
      <c r="O19">
        <v>2026</v>
      </c>
    </row>
    <row r="20" spans="2:15" outlineLevel="1" x14ac:dyDescent="0.25">
      <c r="B20" s="120"/>
      <c r="C20" s="120" t="s">
        <v>219</v>
      </c>
      <c r="D20" s="115">
        <v>145503.83449921399</v>
      </c>
      <c r="E20" s="115">
        <v>145503.83449921399</v>
      </c>
      <c r="F20" s="115">
        <v>232806.13519874201</v>
      </c>
      <c r="G20" s="115">
        <v>291007.66899842798</v>
      </c>
      <c r="J20" t="s">
        <v>237</v>
      </c>
      <c r="K20" s="129">
        <v>156103.20000000001</v>
      </c>
      <c r="L20" s="129">
        <v>312206.40000000002</v>
      </c>
      <c r="M20" s="129">
        <v>390258</v>
      </c>
      <c r="N20" s="129">
        <v>468309.6</v>
      </c>
      <c r="O20" s="129">
        <v>546361.19999999995</v>
      </c>
    </row>
    <row r="21" spans="2:15" outlineLevel="1" x14ac:dyDescent="0.25">
      <c r="B21" s="120"/>
      <c r="C21" s="120" t="s">
        <v>220</v>
      </c>
      <c r="D21" s="115">
        <v>174604.60139905699</v>
      </c>
      <c r="E21" s="115">
        <v>174604.60139905699</v>
      </c>
      <c r="F21" s="115">
        <v>261906.90209858501</v>
      </c>
      <c r="G21" s="115">
        <v>320108.43589827098</v>
      </c>
      <c r="J21" t="s">
        <v>239</v>
      </c>
      <c r="K21" s="129">
        <v>157516.80031509401</v>
      </c>
      <c r="L21" s="129">
        <v>312206.40000000002</v>
      </c>
      <c r="M21" s="129">
        <v>468309.6</v>
      </c>
      <c r="N21" s="129">
        <v>624412.80000000005</v>
      </c>
      <c r="O21" s="129">
        <v>780516</v>
      </c>
    </row>
    <row r="22" spans="2:15" outlineLevel="1" x14ac:dyDescent="0.25">
      <c r="B22" s="120"/>
      <c r="C22" s="120" t="s">
        <v>221</v>
      </c>
      <c r="D22" s="115">
        <v>203705.368298899</v>
      </c>
      <c r="E22" s="115">
        <v>203705.368298899</v>
      </c>
      <c r="F22" s="115">
        <v>261906.90209858501</v>
      </c>
      <c r="G22" s="115">
        <v>320108.43589827098</v>
      </c>
    </row>
    <row r="23" spans="2:15" outlineLevel="1" x14ac:dyDescent="0.25">
      <c r="B23" s="120"/>
      <c r="C23" s="120" t="s">
        <v>222</v>
      </c>
      <c r="D23" s="115">
        <v>157516.80031509401</v>
      </c>
      <c r="E23" s="115">
        <v>157516.80031509401</v>
      </c>
      <c r="F23" s="115">
        <v>624412.80000000005</v>
      </c>
      <c r="G23" s="115">
        <v>1092722.3999999999</v>
      </c>
      <c r="J23" s="127" t="s">
        <v>242</v>
      </c>
    </row>
    <row r="24" spans="2:15" outlineLevel="1" x14ac:dyDescent="0.25">
      <c r="B24" s="120"/>
      <c r="C24" s="120" t="s">
        <v>223</v>
      </c>
      <c r="D24" s="115">
        <v>312206.40000000002</v>
      </c>
      <c r="E24" s="115">
        <v>312206.40000000002</v>
      </c>
      <c r="F24" s="115">
        <v>780516</v>
      </c>
      <c r="G24" s="115">
        <v>1092722.3999999999</v>
      </c>
      <c r="J24" s="128" t="s">
        <v>58</v>
      </c>
      <c r="K24">
        <v>2022</v>
      </c>
      <c r="L24">
        <v>2023</v>
      </c>
      <c r="M24">
        <v>2024</v>
      </c>
      <c r="N24">
        <v>2025</v>
      </c>
      <c r="O24">
        <v>2026</v>
      </c>
    </row>
    <row r="25" spans="2:15" outlineLevel="1" x14ac:dyDescent="0.25">
      <c r="B25" s="120"/>
      <c r="C25" s="120" t="s">
        <v>224</v>
      </c>
      <c r="D25" s="115">
        <v>468309.6</v>
      </c>
      <c r="E25" s="115">
        <v>468309.6</v>
      </c>
      <c r="F25" s="115">
        <v>936619.2</v>
      </c>
      <c r="G25" s="115">
        <v>1170774</v>
      </c>
      <c r="J25" t="s">
        <v>237</v>
      </c>
      <c r="K25" s="115">
        <v>702464.4</v>
      </c>
      <c r="L25" s="115">
        <v>702464.4</v>
      </c>
      <c r="M25" s="115">
        <v>780516</v>
      </c>
      <c r="N25" s="115">
        <v>858567.6</v>
      </c>
      <c r="O25" s="115">
        <v>858567.6</v>
      </c>
    </row>
    <row r="26" spans="2:15" outlineLevel="1" x14ac:dyDescent="0.25">
      <c r="B26" s="120"/>
      <c r="C26" s="120" t="s">
        <v>225</v>
      </c>
      <c r="D26" s="115">
        <v>624412.80000000005</v>
      </c>
      <c r="E26" s="115">
        <v>624412.80000000005</v>
      </c>
      <c r="F26" s="115">
        <v>1092722.3999999999</v>
      </c>
      <c r="G26" s="115">
        <v>1170774</v>
      </c>
      <c r="J26" t="s">
        <v>239</v>
      </c>
      <c r="K26" s="115">
        <v>1092722.3999999999</v>
      </c>
      <c r="L26" s="115">
        <v>1092722.3999999999</v>
      </c>
      <c r="M26" s="115">
        <v>1170774</v>
      </c>
      <c r="N26" s="115">
        <v>1170774</v>
      </c>
      <c r="O26" s="115">
        <v>1170774</v>
      </c>
    </row>
    <row r="27" spans="2:15" outlineLevel="1" x14ac:dyDescent="0.25">
      <c r="B27" s="120"/>
      <c r="C27" s="120" t="s">
        <v>226</v>
      </c>
      <c r="D27" s="115">
        <v>780516</v>
      </c>
      <c r="E27" s="115">
        <v>780516</v>
      </c>
      <c r="F27" s="115">
        <v>1092722.3999999999</v>
      </c>
      <c r="G27" s="115">
        <v>1170774</v>
      </c>
    </row>
    <row r="28" spans="2:15" outlineLevel="1" x14ac:dyDescent="0.25">
      <c r="B28" s="120"/>
      <c r="C28" s="120" t="s">
        <v>227</v>
      </c>
      <c r="D28" s="115">
        <v>67584.444490964393</v>
      </c>
      <c r="E28" s="115">
        <v>67584.444490964393</v>
      </c>
      <c r="F28" s="115">
        <v>120569.43712</v>
      </c>
      <c r="G28" s="115">
        <v>175517.76352000001</v>
      </c>
    </row>
    <row r="29" spans="2:15" outlineLevel="1" x14ac:dyDescent="0.25">
      <c r="B29" s="120"/>
      <c r="C29" s="120" t="s">
        <v>228</v>
      </c>
      <c r="D29" s="115">
        <v>58009.641612599997</v>
      </c>
      <c r="E29" s="115">
        <v>58009.641612599997</v>
      </c>
      <c r="F29" s="115">
        <v>101528.3755326</v>
      </c>
      <c r="G29" s="115">
        <v>130540.8648126</v>
      </c>
    </row>
    <row r="30" spans="2:15" outlineLevel="1" x14ac:dyDescent="0.25">
      <c r="B30" s="120"/>
      <c r="C30" s="120" t="s">
        <v>229</v>
      </c>
      <c r="D30" s="115">
        <v>72515.886252600001</v>
      </c>
      <c r="E30" s="115">
        <v>72515.886252600001</v>
      </c>
      <c r="F30" s="115">
        <v>116034.6201726</v>
      </c>
      <c r="G30" s="115">
        <v>134927.36473259999</v>
      </c>
    </row>
    <row r="31" spans="2:15" outlineLevel="1" x14ac:dyDescent="0.25">
      <c r="B31" s="120"/>
      <c r="C31" s="120" t="s">
        <v>230</v>
      </c>
      <c r="D31" s="115">
        <v>87022.130892600006</v>
      </c>
      <c r="E31" s="115">
        <v>87022.130892600006</v>
      </c>
      <c r="F31" s="115">
        <v>130540.8648126</v>
      </c>
      <c r="G31" s="115">
        <v>115887.6289056</v>
      </c>
      <c r="J31" s="128" t="s">
        <v>182</v>
      </c>
      <c r="N31" s="128" t="s">
        <v>183</v>
      </c>
    </row>
    <row r="32" spans="2:15" outlineLevel="1" x14ac:dyDescent="0.25">
      <c r="B32" s="120"/>
      <c r="C32" s="120" t="s">
        <v>231</v>
      </c>
      <c r="D32" s="115">
        <v>101528.3755326</v>
      </c>
      <c r="E32" s="115">
        <v>101528.3755326</v>
      </c>
      <c r="F32" s="115">
        <v>130540.8648126</v>
      </c>
      <c r="G32" s="115">
        <v>115887.6289056</v>
      </c>
    </row>
    <row r="33" spans="2:10" outlineLevel="1" x14ac:dyDescent="0.25">
      <c r="B33" s="120"/>
      <c r="C33" s="120" t="s">
        <v>232</v>
      </c>
      <c r="D33" s="115">
        <v>58201.533799685603</v>
      </c>
      <c r="E33" s="115">
        <v>58201.533799685603</v>
      </c>
      <c r="F33" s="115">
        <v>232806.13519874201</v>
      </c>
      <c r="G33" s="115">
        <v>407410.736597799</v>
      </c>
      <c r="I33" t="s">
        <v>58</v>
      </c>
      <c r="J33" t="s">
        <v>243</v>
      </c>
    </row>
    <row r="34" spans="2:10" outlineLevel="1" x14ac:dyDescent="0.25">
      <c r="B34" s="120"/>
      <c r="C34" s="120" t="s">
        <v>233</v>
      </c>
      <c r="D34" s="115">
        <v>116403.067599371</v>
      </c>
      <c r="E34" s="115">
        <v>116403.067599371</v>
      </c>
      <c r="F34" s="115">
        <v>291007.66899842798</v>
      </c>
      <c r="G34" s="115">
        <v>407410.736597799</v>
      </c>
      <c r="J34" t="s">
        <v>244</v>
      </c>
    </row>
    <row r="35" spans="2:10" outlineLevel="1" x14ac:dyDescent="0.25">
      <c r="B35" s="120"/>
      <c r="C35" s="120" t="s">
        <v>234</v>
      </c>
      <c r="D35" s="115">
        <v>174604.60139905699</v>
      </c>
      <c r="E35" s="115">
        <v>174604.60139905699</v>
      </c>
      <c r="F35" s="115">
        <v>349209.20279811299</v>
      </c>
      <c r="G35" s="115">
        <v>436511.503497642</v>
      </c>
      <c r="I35" t="s">
        <v>238</v>
      </c>
      <c r="J35" t="s">
        <v>245</v>
      </c>
    </row>
    <row r="36" spans="2:10" outlineLevel="1" x14ac:dyDescent="0.25">
      <c r="B36" s="120"/>
      <c r="C36" s="120" t="s">
        <v>235</v>
      </c>
      <c r="D36" s="115">
        <v>232806.13519874201</v>
      </c>
      <c r="E36" s="115">
        <v>232806.13519874201</v>
      </c>
      <c r="F36" s="115">
        <v>407410.736597799</v>
      </c>
      <c r="G36" s="115">
        <v>436511.503497642</v>
      </c>
      <c r="I36" t="s">
        <v>157</v>
      </c>
      <c r="J36" t="s">
        <v>249</v>
      </c>
    </row>
    <row r="37" spans="2:10" ht="15.75" outlineLevel="1" thickBot="1" x14ac:dyDescent="0.3">
      <c r="B37" s="122"/>
      <c r="C37" s="122" t="s">
        <v>236</v>
      </c>
      <c r="D37" s="116">
        <v>291007.66899842798</v>
      </c>
      <c r="E37" s="116">
        <v>291007.66899842798</v>
      </c>
      <c r="F37" s="116">
        <v>407410.736597799</v>
      </c>
      <c r="G37" s="116">
        <v>436511.503497642</v>
      </c>
    </row>
    <row r="38" spans="2:10" x14ac:dyDescent="0.25">
      <c r="B38" t="s">
        <v>204</v>
      </c>
    </row>
    <row r="39" spans="2:10" x14ac:dyDescent="0.25">
      <c r="B39" t="s">
        <v>205</v>
      </c>
    </row>
    <row r="40" spans="2:10" x14ac:dyDescent="0.25">
      <c r="B40" t="s">
        <v>206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Hourly Solar Generation</vt:lpstr>
      <vt:lpstr>Technical</vt:lpstr>
      <vt:lpstr>Financial</vt:lpstr>
      <vt:lpstr>Scenario Summary</vt:lpstr>
      <vt:lpstr>Scenario Summary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Jie</dc:creator>
  <cp:lastModifiedBy>Jevan Goh</cp:lastModifiedBy>
  <dcterms:created xsi:type="dcterms:W3CDTF">2021-09-21T14:59:53Z</dcterms:created>
  <dcterms:modified xsi:type="dcterms:W3CDTF">2022-12-26T05:41:02Z</dcterms:modified>
</cp:coreProperties>
</file>